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gofa\Exel course\مشروع تخرج اكسيل\"/>
    </mc:Choice>
  </mc:AlternateContent>
  <xr:revisionPtr revIDLastSave="0" documentId="13_ncr:1_{E3652E73-6624-43D7-95BB-0AA20F458093}" xr6:coauthVersionLast="47" xr6:coauthVersionMax="47" xr10:uidLastSave="{00000000-0000-0000-0000-000000000000}"/>
  <bookViews>
    <workbookView xWindow="-108" yWindow="-108" windowWidth="23256" windowHeight="12456" firstSheet="3" activeTab="9" xr2:uid="{22992F4A-0D7F-4146-8BFE-71ED7D7465F3}"/>
  </bookViews>
  <sheets>
    <sheet name="bestsellers with categories" sheetId="1" r:id="rId1"/>
    <sheet name="Data Cleaning" sheetId="3" r:id="rId2"/>
    <sheet name="Answers" sheetId="2" r:id="rId3"/>
    <sheet name="Relation 1" sheetId="9" r:id="rId4"/>
    <sheet name="Relation 2,3" sheetId="10" r:id="rId5"/>
    <sheet name="Relation 4" sheetId="11" r:id="rId6"/>
    <sheet name="Relation 5,6" sheetId="13" r:id="rId7"/>
    <sheet name="Relation 7" sheetId="14" r:id="rId8"/>
    <sheet name="Data Visualization" sheetId="7" r:id="rId9"/>
    <sheet name="Insights" sheetId="8" r:id="rId10"/>
  </sheets>
  <definedNames>
    <definedName name="_xlcn.WorksheetConnection_bestsellerswithcategories.xlsxBooks1" hidden="1">Books[]</definedName>
    <definedName name="Slicer_Author">#N/A</definedName>
    <definedName name="Slicer_Genre">#N/A</definedName>
    <definedName name="Slicer_Year">#N/A</definedName>
  </definedNames>
  <calcPr calcId="191029"/>
  <pivotCaches>
    <pivotCache cacheId="8" r:id="rId11"/>
    <pivotCache cacheId="10" r:id="rId12"/>
    <pivotCache cacheId="11" r:id="rId13"/>
    <pivotCache cacheId="39" r:id="rId14"/>
    <pivotCache cacheId="40" r:id="rId15"/>
    <pivotCache cacheId="41" r:id="rId16"/>
    <pivotCache cacheId="42"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ooks" name="Books" connection="WorksheetConnection_bestsellers with categories.xlsx!Book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8" i="3" l="1" a="1"/>
  <c r="I38" i="3" s="1"/>
  <c r="S25" i="2"/>
  <c r="S24" i="2"/>
  <c r="S23" i="2"/>
  <c r="S22" i="2"/>
  <c r="S21" i="2"/>
  <c r="S20" i="2"/>
  <c r="I17" i="2"/>
  <c r="I18" i="2" s="1"/>
  <c r="I19" i="2" s="1"/>
  <c r="I20" i="2" s="1"/>
  <c r="I21" i="2" s="1"/>
  <c r="I22" i="2" s="1"/>
  <c r="I23" i="2" s="1"/>
  <c r="I24" i="2" s="1"/>
  <c r="I25" i="2" s="1"/>
  <c r="I26" i="2" s="1"/>
  <c r="I27" i="2" s="1"/>
  <c r="I28" i="2" s="1"/>
  <c r="I29" i="2" s="1"/>
  <c r="K20" i="2"/>
  <c r="O2" i="3"/>
  <c r="Q2" i="3" s="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K27" i="2"/>
  <c r="K26" i="2"/>
  <c r="I16" i="2"/>
  <c r="K25" i="2"/>
  <c r="K24" i="2"/>
  <c r="K15" i="2"/>
  <c r="K23" i="2"/>
  <c r="K22" i="2"/>
  <c r="K21" i="2"/>
  <c r="K19" i="2"/>
  <c r="K18" i="2"/>
  <c r="K16" i="2"/>
  <c r="K17" i="2"/>
  <c r="A13" i="2"/>
  <c r="A14" i="2" s="1"/>
  <c r="A15" i="2" s="1"/>
  <c r="A16" i="2" s="1"/>
  <c r="A17" i="2" s="1"/>
  <c r="Q3" i="3" l="1"/>
  <c r="P3" i="3"/>
  <c r="P2" i="3"/>
  <c r="K28" i="2" s="1"/>
  <c r="K29"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441F4-ABAA-4496-BF48-37E7D73B08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5C5E10-ACB1-4C73-80F4-94E1F97486C2}" name="WorksheetConnection_bestsellers with categories.xlsx!Books" type="102" refreshedVersion="8" minRefreshableVersion="5">
    <extLst>
      <ext xmlns:x15="http://schemas.microsoft.com/office/spreadsheetml/2010/11/main" uri="{DE250136-89BD-433C-8126-D09CA5730AF9}">
        <x15:connection id="Books" autoDelete="1">
          <x15:rangePr sourceName="_xlcn.WorksheetConnection_bestsellerswithcategories.xlsxBook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<sst xmlns="http://schemas.openxmlformats.org/spreadsheetml/2006/main" count="3698" uniqueCount="663">
  <si>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</si>
  <si>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</si>
  <si>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</si>
  <si>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</si>
  <si>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</si>
  <si>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</si>
  <si>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</si>
  <si>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</si>
  <si>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</si>
  <si>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</si>
  <si>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</si>
  <si>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</si>
  <si>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</si>
  <si>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</si>
  <si>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</si>
  <si>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</si>
  <si>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</si>
  <si>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</si>
  <si>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</si>
  <si>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</si>
  <si>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</si>
  <si>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</si>
  <si>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</si>
  <si>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</si>
  <si>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</si>
  <si>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</si>
  <si>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</si>
  <si>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</si>
  <si>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</si>
  <si>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</si>
  <si>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</si>
  <si>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</si>
  <si>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</si>
  <si>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</si>
  <si>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</si>
  <si>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</si>
  <si>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</si>
  <si>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</si>
  <si>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</si>
  <si>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</si>
  <si>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</si>
  <si>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</si>
  <si>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</si>
  <si>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</si>
  <si>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</si>
  <si>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</si>
  <si>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</si>
  <si>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</si>
  <si>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</si>
  <si>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</si>
  <si>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</si>
  <si>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</si>
  <si>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</si>
  <si>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</si>
  <si>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</si>
  <si>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</si>
  <si>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</si>
  <si>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</si>
  <si>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</si>
  <si>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</si>
  <si>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</si>
  <si>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</si>
  <si>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</si>
  <si>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</si>
  <si>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</si>
  <si>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</si>
  <si>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</si>
  <si>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</si>
  <si>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</si>
  <si>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</si>
  <si>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</si>
  <si>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</si>
  <si>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</si>
  <si>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</si>
  <si>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</si>
  <si>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</si>
  <si>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</si>
  <si>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</si>
  <si>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</si>
  <si>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</si>
  <si>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</si>
  <si>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</si>
  <si>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</si>
  <si>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</si>
  <si>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</si>
  <si>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</si>
  <si>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</si>
  <si>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</si>
  <si>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</si>
  <si>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</si>
  <si>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</si>
  <si>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</si>
  <si>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</si>
  <si>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</si>
  <si>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</si>
  <si>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</si>
  <si>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</si>
  <si>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</si>
  <si>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</si>
  <si>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</si>
  <si>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</si>
  <si>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</si>
  <si>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</si>
  <si>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</si>
  <si>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</si>
  <si>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</si>
  <si>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</si>
  <si>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</si>
  <si>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</si>
  <si>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</si>
  <si>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</si>
  <si>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</si>
  <si>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</si>
  <si>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</si>
  <si>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</si>
  <si>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</si>
  <si>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</si>
  <si>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</si>
  <si>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</si>
  <si>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</si>
  <si>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</si>
  <si>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</si>
  <si>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</si>
  <si>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</si>
  <si>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</si>
  <si>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</si>
  <si>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</si>
  <si>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</si>
  <si>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</si>
  <si>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</si>
  <si>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</si>
  <si>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</si>
  <si>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</si>
  <si>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</si>
  <si>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</si>
  <si>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</si>
  <si>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</si>
  <si>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</si>
  <si>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</si>
  <si>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</si>
  <si>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</si>
  <si>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</si>
  <si>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</si>
  <si>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</si>
  <si>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</si>
  <si>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</si>
  <si>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</si>
  <si>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</si>
  <si>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</si>
  <si>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</si>
  <si>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</si>
  <si>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</si>
  <si>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</si>
  <si>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</si>
  <si>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</si>
  <si>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</si>
  <si>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</si>
  <si>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</si>
  <si>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</si>
  <si>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</si>
  <si>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</si>
  <si>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</si>
  <si>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</si>
  <si>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</si>
  <si>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</si>
  <si>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</si>
  <si>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</si>
  <si>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</si>
  <si>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</si>
  <si>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</si>
  <si>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</si>
  <si>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</si>
  <si>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</si>
  <si>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</si>
  <si>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</si>
  <si>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</si>
  <si>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</si>
  <si>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</si>
  <si>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</si>
  <si>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</si>
  <si>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</si>
  <si>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</si>
  <si>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</si>
  <si>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</si>
  <si>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</si>
  <si>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</si>
  <si>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</si>
  <si>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</si>
  <si>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</si>
  <si>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</si>
  <si>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</si>
  <si>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</si>
  <si>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</si>
  <si>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</si>
  <si>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</si>
  <si>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</si>
  <si>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</si>
  <si>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</si>
  <si>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</si>
  <si>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</si>
  <si>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</si>
  <si>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</si>
  <si>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</si>
  <si>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</si>
  <si>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</si>
  <si>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</si>
  <si>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</si>
  <si>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</si>
  <si>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</si>
  <si>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</si>
  <si>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</si>
  <si>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</si>
  <si>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</si>
  <si>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</si>
  <si>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</si>
  <si>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</si>
  <si>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</si>
  <si>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</si>
  <si>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</si>
  <si>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</si>
  <si>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</si>
  <si>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</si>
  <si>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</si>
  <si>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</si>
  <si>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</si>
  <si>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</si>
  <si>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</si>
  <si>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</si>
  <si>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</si>
  <si>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</si>
  <si>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</si>
  <si>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</si>
  <si>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</si>
  <si>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</si>
  <si>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</si>
  <si>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</si>
  <si>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</si>
  <si>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</si>
  <si>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</si>
  <si>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</si>
  <si>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</si>
  <si>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</si>
  <si>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</si>
  <si>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</si>
  <si>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</si>
  <si>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</si>
  <si>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</si>
  <si>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</si>
  <si>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</si>
  <si>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</si>
  <si>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</si>
  <si>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</si>
  <si>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</si>
  <si>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</si>
  <si>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</si>
  <si>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</si>
  <si>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</si>
  <si>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</si>
  <si>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</si>
  <si>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</si>
  <si>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</si>
  <si>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</si>
  <si>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</si>
  <si>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</si>
  <si>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</si>
  <si>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</si>
  <si>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</si>
  <si>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</si>
  <si>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</si>
  <si>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</si>
  <si>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</si>
  <si>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</si>
  <si>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</si>
  <si>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</si>
  <si>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</si>
  <si>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</si>
  <si>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</si>
  <si>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</si>
  <si>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</si>
  <si>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</si>
  <si>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</si>
  <si>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</si>
  <si>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</si>
  <si>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</si>
  <si>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</si>
  <si>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</si>
  <si>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</si>
  <si>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</si>
  <si>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</si>
  <si>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</si>
  <si>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</si>
  <si>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</si>
  <si>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</si>
  <si>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</si>
  <si>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</si>
  <si>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</si>
  <si>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</si>
  <si>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</si>
  <si>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</si>
  <si>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</si>
  <si>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</si>
  <si>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</si>
  <si>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</si>
  <si>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</si>
  <si>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</si>
  <si>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</si>
  <si>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</si>
  <si>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</si>
  <si>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</si>
  <si>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</si>
  <si>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</si>
  <si>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</si>
  <si>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</si>
  <si>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</si>
  <si>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</si>
  <si>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</si>
  <si>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</si>
  <si>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</si>
  <si>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</si>
  <si>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</si>
  <si>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</si>
  <si>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</si>
  <si>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</si>
  <si>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</si>
  <si>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</si>
  <si>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</si>
  <si>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</si>
  <si>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</si>
  <si>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</si>
  <si>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</si>
  <si>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</si>
  <si>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</si>
  <si>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</si>
  <si>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</si>
  <si>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</si>
  <si>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</si>
  <si>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</si>
  <si>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</si>
  <si>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</si>
  <si>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</si>
  <si>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</si>
  <si>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</si>
  <si>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</si>
  <si>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</si>
  <si>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</si>
  <si>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</si>
  <si>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</si>
  <si>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</si>
  <si>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</si>
  <si>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</si>
  <si>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</si>
  <si>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</si>
  <si>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</si>
  <si>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</si>
  <si>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</si>
  <si>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</si>
  <si>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</si>
  <si>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</si>
  <si>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</si>
  <si>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</si>
  <si>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</si>
  <si>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</si>
  <si>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</si>
  <si>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</si>
  <si>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</si>
  <si>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</si>
  <si>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</si>
  <si>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</si>
  <si>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</si>
  <si>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</si>
  <si>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</si>
  <si>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</si>
  <si>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</si>
  <si>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</si>
  <si>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</si>
  <si>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</si>
  <si>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</si>
  <si>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</si>
  <si>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</si>
  <si>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</si>
  <si>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</si>
  <si>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</si>
  <si>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</si>
  <si>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</si>
  <si>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</si>
  <si>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</si>
  <si>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</si>
  <si>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</si>
  <si>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</si>
  <si>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</si>
  <si>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</si>
  <si>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</si>
  <si>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</si>
  <si>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</si>
  <si>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</si>
  <si>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</si>
  <si>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</si>
  <si>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</si>
  <si>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</si>
  <si>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</si>
  <si>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</si>
  <si>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</si>
  <si>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</si>
  <si>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</si>
  <si>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</si>
  <si>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</si>
  <si>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</si>
  <si>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</si>
  <si>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</si>
  <si>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</si>
  <si>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</si>
  <si>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</si>
  <si>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</si>
  <si>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</si>
  <si>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</si>
  <si>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</si>
  <si>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</si>
  <si>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</si>
  <si>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</si>
  <si>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</si>
  <si>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</si>
  <si>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</si>
  <si>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</si>
  <si>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</si>
  <si>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</si>
  <si>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</si>
  <si>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</si>
  <si>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</si>
  <si>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</si>
  <si>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</si>
  <si>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</si>
  <si>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</si>
  <si>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</si>
  <si>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</si>
  <si>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</si>
  <si>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</si>
  <si>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</si>
  <si>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</si>
  <si>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</si>
  <si>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</si>
  <si>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</si>
  <si>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</si>
  <si>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</si>
  <si>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</si>
  <si>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</si>
  <si>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</si>
  <si>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</si>
  <si>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</si>
  <si>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</si>
  <si>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</si>
  <si>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</si>
  <si>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</si>
  <si>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</si>
  <si>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</si>
  <si>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</si>
  <si>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</si>
  <si>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</si>
  <si>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</si>
  <si>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</si>
  <si>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</si>
  <si>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</si>
  <si>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</si>
  <si>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</si>
  <si>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</si>
  <si>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</si>
  <si>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</si>
  <si>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</si>
  <si>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</si>
  <si>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</si>
  <si>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</si>
  <si>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</si>
  <si>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</si>
  <si>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</si>
  <si>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</si>
  <si>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</si>
  <si>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</si>
  <si>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</si>
  <si>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</si>
  <si>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</si>
  <si>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</si>
  <si>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</si>
  <si>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</si>
  <si>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</si>
  <si>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</si>
  <si>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</si>
  <si>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</si>
  <si>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</si>
  <si>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</si>
  <si>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</si>
  <si>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</si>
  <si>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</si>
  <si>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</si>
  <si>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</si>
  <si>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</si>
  <si>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</si>
  <si>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</si>
  <si>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</si>
  <si>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</si>
  <si>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</si>
  <si>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</si>
  <si>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</si>
  <si>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</si>
  <si>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</si>
  <si>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</si>
  <si>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</si>
  <si>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</si>
  <si>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</si>
  <si>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</si>
  <si>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</si>
  <si>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</si>
  <si>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</si>
  <si>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</si>
  <si>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</si>
  <si>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</si>
  <si>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</si>
  <si>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</si>
  <si>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</si>
  <si>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</si>
  <si>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</si>
  <si>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</si>
  <si>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</si>
  <si>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</si>
  <si>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</si>
  <si>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</si>
  <si>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</si>
  <si>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</si>
  <si>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</si>
  <si>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</si>
  <si>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</si>
  <si>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</si>
  <si>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</si>
  <si>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</si>
  <si>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</si>
  <si>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</si>
  <si>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</si>
  <si>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</si>
  <si>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</si>
  <si>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</si>
  <si>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</si>
  <si>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</si>
  <si>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</si>
  <si>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</si>
  <si>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</si>
  <si>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</si>
  <si>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</si>
  <si>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</si>
  <si>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</si>
  <si>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</si>
  <si>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</si>
  <si>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</si>
  <si>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</si>
  <si>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</si>
  <si>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</si>
  <si>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</si>
  <si>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</si>
  <si>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</si>
  <si>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</si>
  <si>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</si>
  <si>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</si>
  <si>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</si>
  <si>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</si>
  <si>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</si>
  <si>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</si>
  <si>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</si>
  <si>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</si>
  <si>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</si>
  <si>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</si>
  <si>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</si>
  <si>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</si>
  <si>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</si>
  <si>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</si>
  <si>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</si>
  <si>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</si>
  <si>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</si>
  <si>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</si>
  <si>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</si>
  <si>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</si>
  <si>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</si>
  <si>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</si>
  <si>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</si>
  <si>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</si>
  <si>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</si>
  <si>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</si>
  <si>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</si>
  <si>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</si>
  <si>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</si>
  <si>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</si>
  <si>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</si>
  <si>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</si>
  <si>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</si>
  <si>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</si>
  <si>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</si>
  <si>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</si>
  <si>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</si>
  <si>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</si>
  <si>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</si>
  <si>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</si>
  <si>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</si>
  <si>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</si>
  <si>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</si>
  <si>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</si>
  <si>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</si>
  <si>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</si>
  <si>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</si>
  <si>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</si>
  <si>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</si>
  <si>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</si>
  <si>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</si>
  <si>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Step</t>
  </si>
  <si>
    <t>Description</t>
  </si>
  <si>
    <t>Status</t>
  </si>
  <si>
    <t>Notes</t>
  </si>
  <si>
    <t>Steps to analyze data for best sellers categories</t>
  </si>
  <si>
    <t>Done</t>
  </si>
  <si>
    <t>_____</t>
  </si>
  <si>
    <t>I made a sheet and called it 'data cleaning' and added a copy of best sellers with categories</t>
  </si>
  <si>
    <t>I collected the data in a table and named it 'Books'.</t>
  </si>
  <si>
    <t>______</t>
  </si>
  <si>
    <t>I searched for blank cells and 
no empty cells were found.</t>
  </si>
  <si>
    <t>I searched for duplicate values. Two duplicate values ​​were found. They were removed and one value was left for each.</t>
  </si>
  <si>
    <t>12 books with zero prices were found and dealt with by searching for their prices and adding them</t>
  </si>
  <si>
    <t>Column formatting has been verified.</t>
  </si>
  <si>
    <t>Exploratory Data Analysis</t>
  </si>
  <si>
    <t xml:space="preserve"> </t>
  </si>
  <si>
    <t>step</t>
  </si>
  <si>
    <t>The requirement</t>
  </si>
  <si>
    <t>Average Price</t>
  </si>
  <si>
    <t>Maximum Price</t>
  </si>
  <si>
    <t>Minimum Price</t>
  </si>
  <si>
    <t>Average User Rating</t>
  </si>
  <si>
    <t>Average Reviews</t>
  </si>
  <si>
    <t>Num of non-fiction books</t>
  </si>
  <si>
    <t>Num of fiction books</t>
  </si>
  <si>
    <t>Total Price</t>
  </si>
  <si>
    <t>The most commented book</t>
  </si>
  <si>
    <t>The least commented book</t>
  </si>
  <si>
    <t>Statue</t>
  </si>
  <si>
    <t>Data Visualization</t>
  </si>
  <si>
    <t>Number of reviews for a fiction books</t>
  </si>
  <si>
    <t>Number of reviews for a 
non fiction books</t>
  </si>
  <si>
    <t>Data Cleaning</t>
  </si>
  <si>
    <t>The author with the most reviews</t>
  </si>
  <si>
    <t>The author with the fewest  
reviews</t>
  </si>
  <si>
    <t>author</t>
  </si>
  <si>
    <t>reviews</t>
  </si>
  <si>
    <t>Grand Total</t>
  </si>
  <si>
    <t>Average of User Rating</t>
  </si>
  <si>
    <t>Book Name</t>
  </si>
  <si>
    <t>Average of Price</t>
  </si>
  <si>
    <t>Sum of Reviews</t>
  </si>
  <si>
    <t>Total Sum of Reviews</t>
  </si>
  <si>
    <t>Total Average of Price</t>
  </si>
  <si>
    <t>A sheet containing relationships between columns 
was created and named exploratory data analysis.</t>
  </si>
  <si>
    <t>Total Reviews</t>
  </si>
  <si>
    <t>A sheet called data visualization 
was created.</t>
  </si>
  <si>
    <t>_______</t>
  </si>
  <si>
    <t>A dash board was created containing graphics with impactful data.</t>
  </si>
  <si>
    <t>A column chart was created to create a relationship between the average price and the average rating for each year.</t>
  </si>
  <si>
    <t>A pie chart was created to establish a relationship between the total reviews for each year.</t>
  </si>
  <si>
    <t>A bar chart was created to create a relationship between the total reviews and the average rating for each author.</t>
  </si>
  <si>
    <t>A column chart was created to create a relationship between the total reviews for each year.</t>
  </si>
  <si>
    <t>A slicer was created for each chart and they were all linked together.</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</si>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</sst>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
    <numFmt numFmtId="165" formatCode="[&gt;=1000000]#,,\ &quot;M&quot;;[&gt;=1000]#,\ &quot;K&quot;;#"/>
    <numFmt numFmtId="166" formatCode="&quot;$&quot;#,##0.00"/>
    <numFmt numFmtId="167" formatCode="0.0"/>
    <numFmt numFmtId="168" formatCode="[&gt;999999]#,##0.0,,&quot;M&quot;;[&gt;999]#,##0,&quot;K&quot;;#,##0"/>
    <numFmt numFmtId="169" formatCode="[&gt;=1000000]#0.00,,\ &quot;M$&quot;;[&gt;=1000]#0.00,\ &quot;K$&quot;;#0.00&quot;$&quot;"/>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0"/>
      <name val="Aptos Narrow"/>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theme="9"/>
      </patternFill>
    </fill>
    <fill>
      <patternFill patternType="solid">
        <fgColor theme="0"/>
        <bgColor indexed="64"/>
      </patternFill>
    </fill>
    <fill>
      <patternFill patternType="solid">
        <fgColor theme="3" tint="0.749992370372631"/>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theme="4" tint="-0.249977111117893"/>
        <bgColor theme="4" tint="-0.249977111117893"/>
      </patternFill>
    </fill>
    <fill>
      <patternFill patternType="solid">
        <fgColor theme="4" tint="-0.249977111117893"/>
        <bgColor theme="3" tint="0.499984740745262"/>
      </patternFill>
    </fill>
    <fill>
      <patternFill patternType="solid">
        <fgColor theme="1" tint="0.499984740745262"/>
        <bgColor indexed="64"/>
      </patternFill>
    </fill>
    <fill>
      <patternFill patternType="solid">
        <fgColor theme="4" tint="0.59999389629810485"/>
        <bgColor indexed="64"/>
      </patternFill>
    </fill>
    <fill>
      <patternFill patternType="solid">
        <fgColor theme="4" tint="0.59999389629810485"/>
        <bgColor theme="3" tint="0.499984740745262"/>
      </patternFill>
    </fill>
    <fill>
      <patternFill patternType="solid">
        <fgColor theme="3" tint="9.9978637043366805E-2"/>
        <bgColor theme="4" tint="-0.249977111117893"/>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5">
    <xf numFmtId="0" fontId="0" fillId="0" borderId="0" xfId="0"/>
    <xf numFmtId="0" fontId="0" fillId="33" borderId="0" xfId="0" applyFill="1"/>
    <xf numFmtId="0" fontId="19" fillId="0" borderId="11"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21" fillId="33" borderId="0" xfId="0" applyFont="1" applyFill="1" applyAlignment="1">
      <alignment vertical="center"/>
    </xf>
    <xf numFmtId="0" fontId="0" fillId="33" borderId="0" xfId="0" applyFill="1" applyAlignment="1">
      <alignment vertical="center"/>
    </xf>
    <xf numFmtId="0" fontId="22"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165" fontId="22" fillId="0" borderId="0" xfId="0" applyNumberFormat="1" applyFont="1" applyAlignment="1">
      <alignment horizontal="center"/>
    </xf>
    <xf numFmtId="165" fontId="0" fillId="0" borderId="0" xfId="0" applyNumberFormat="1" applyAlignment="1">
      <alignment horizontal="center"/>
    </xf>
    <xf numFmtId="165" fontId="0" fillId="0" borderId="0" xfId="0" applyNumberFormat="1"/>
    <xf numFmtId="49" fontId="0" fillId="0" borderId="0" xfId="0" applyNumberFormat="1" applyAlignment="1">
      <alignment horizontal="center"/>
    </xf>
    <xf numFmtId="49" fontId="22" fillId="0" borderId="0" xfId="0" applyNumberFormat="1" applyFont="1" applyAlignment="1">
      <alignment horizontal="center"/>
    </xf>
    <xf numFmtId="0" fontId="17" fillId="33" borderId="0" xfId="0" applyFont="1" applyFill="1"/>
    <xf numFmtId="0" fontId="16" fillId="0" borderId="14" xfId="0" applyFont="1" applyBorder="1" applyAlignment="1">
      <alignment horizontal="center" vertical="center"/>
    </xf>
    <xf numFmtId="0" fontId="13" fillId="0" borderId="10" xfId="0" applyFont="1" applyBorder="1" applyAlignment="1">
      <alignment horizontal="center" vertical="center"/>
    </xf>
    <xf numFmtId="0" fontId="13" fillId="0" borderId="15" xfId="0" applyFont="1" applyBorder="1" applyAlignment="1">
      <alignment horizontal="center" vertical="center"/>
    </xf>
    <xf numFmtId="0" fontId="16" fillId="0" borderId="10" xfId="0" applyFont="1" applyBorder="1" applyAlignment="1">
      <alignment horizontal="center" vertical="center"/>
    </xf>
    <xf numFmtId="0" fontId="16" fillId="0" borderId="15" xfId="0" applyFont="1" applyBorder="1" applyAlignment="1">
      <alignment horizontal="center" vertical="center"/>
    </xf>
    <xf numFmtId="0" fontId="16" fillId="0" borderId="10" xfId="0" applyFont="1" applyBorder="1" applyAlignment="1">
      <alignment horizontal="center" vertical="center" wrapText="1"/>
    </xf>
    <xf numFmtId="0" fontId="19" fillId="0" borderId="0" xfId="0" applyFont="1" applyAlignment="1">
      <alignment horizontal="center" vertical="center"/>
    </xf>
    <xf numFmtId="166" fontId="16" fillId="0" borderId="10" xfId="0" applyNumberFormat="1" applyFont="1" applyBorder="1" applyAlignment="1">
      <alignment horizontal="center" vertical="center"/>
    </xf>
    <xf numFmtId="164" fontId="16" fillId="0" borderId="10" xfId="0" applyNumberFormat="1" applyFont="1" applyBorder="1" applyAlignment="1">
      <alignment horizontal="center" vertical="center"/>
    </xf>
    <xf numFmtId="0" fontId="13" fillId="35" borderId="10" xfId="0" applyFont="1" applyFill="1" applyBorder="1" applyAlignment="1">
      <alignment horizontal="center" vertical="center"/>
    </xf>
    <xf numFmtId="167" fontId="16" fillId="0" borderId="10" xfId="0" applyNumberFormat="1" applyFont="1" applyBorder="1" applyAlignment="1">
      <alignment horizontal="center" vertical="center"/>
    </xf>
    <xf numFmtId="165" fontId="16" fillId="0" borderId="10" xfId="0" applyNumberFormat="1" applyFont="1" applyBorder="1" applyAlignment="1">
      <alignment horizontal="center" vertical="center"/>
    </xf>
    <xf numFmtId="0" fontId="22" fillId="0" borderId="0" xfId="0" applyFont="1" applyAlignment="1">
      <alignment horizontal="center" vertical="center"/>
    </xf>
    <xf numFmtId="0" fontId="16" fillId="0" borderId="33" xfId="0" applyFont="1" applyBorder="1" applyAlignment="1">
      <alignment horizontal="center" vertical="center"/>
    </xf>
    <xf numFmtId="165" fontId="16" fillId="0" borderId="33" xfId="0" applyNumberFormat="1" applyFont="1" applyBorder="1" applyAlignment="1">
      <alignment horizontal="center" vertical="center"/>
    </xf>
    <xf numFmtId="0" fontId="16" fillId="0" borderId="33" xfId="0" applyFont="1" applyBorder="1" applyAlignment="1">
      <alignment horizontal="center" vertical="center" wrapText="1"/>
    </xf>
    <xf numFmtId="0" fontId="17" fillId="36" borderId="0" xfId="0" applyFont="1" applyFill="1"/>
    <xf numFmtId="0" fontId="17" fillId="36" borderId="0" xfId="0" applyFont="1" applyFill="1" applyAlignment="1">
      <alignment horizontal="center"/>
    </xf>
    <xf numFmtId="165" fontId="17" fillId="36" borderId="0" xfId="0" applyNumberFormat="1" applyFont="1" applyFill="1"/>
    <xf numFmtId="0" fontId="23" fillId="38" borderId="0" xfId="0" applyFont="1" applyFill="1" applyAlignment="1">
      <alignment horizontal="left"/>
    </xf>
    <xf numFmtId="0" fontId="23" fillId="38" borderId="0" xfId="0" applyFont="1" applyFill="1" applyAlignment="1">
      <alignment horizontal="center"/>
    </xf>
    <xf numFmtId="2" fontId="23" fillId="38" borderId="0" xfId="0" applyNumberFormat="1" applyFont="1" applyFill="1" applyAlignment="1">
      <alignment horizontal="center"/>
    </xf>
    <xf numFmtId="0" fontId="13" fillId="39" borderId="0" xfId="0" applyFont="1" applyFill="1" applyAlignment="1">
      <alignment horizontal="left"/>
    </xf>
    <xf numFmtId="0" fontId="16" fillId="39" borderId="0" xfId="0" applyFont="1" applyFill="1" applyAlignment="1">
      <alignment horizontal="center"/>
    </xf>
    <xf numFmtId="0" fontId="23" fillId="38" borderId="0" xfId="0" applyFont="1" applyFill="1" applyAlignment="1">
      <alignment horizontal="center" vertical="center"/>
    </xf>
    <xf numFmtId="168" fontId="23" fillId="38" borderId="0" xfId="0" applyNumberFormat="1" applyFont="1" applyFill="1" applyAlignment="1">
      <alignment horizontal="center" vertical="center"/>
    </xf>
    <xf numFmtId="166" fontId="23" fillId="38" borderId="0" xfId="0" applyNumberFormat="1" applyFont="1" applyFill="1" applyAlignment="1">
      <alignment horizontal="center" vertical="center"/>
    </xf>
    <xf numFmtId="2" fontId="23" fillId="38" borderId="0" xfId="0" applyNumberFormat="1" applyFont="1" applyFill="1" applyAlignment="1">
      <alignment horizontal="center" vertical="center"/>
    </xf>
    <xf numFmtId="168" fontId="16" fillId="39" borderId="0" xfId="0" applyNumberFormat="1" applyFont="1" applyFill="1" applyAlignment="1">
      <alignment horizontal="center"/>
    </xf>
    <xf numFmtId="168" fontId="23" fillId="38" borderId="0" xfId="0" applyNumberFormat="1" applyFont="1" applyFill="1" applyAlignment="1">
      <alignment horizontal="center"/>
    </xf>
    <xf numFmtId="0" fontId="0" fillId="40" borderId="0" xfId="0" applyFill="1"/>
    <xf numFmtId="0" fontId="16" fillId="37" borderId="0" xfId="0" applyFont="1" applyFill="1" applyAlignment="1">
      <alignment horizontal="center" indent="1"/>
    </xf>
    <xf numFmtId="168" fontId="16" fillId="37" borderId="0" xfId="0" applyNumberFormat="1" applyFont="1" applyFill="1" applyAlignment="1">
      <alignment horizontal="center"/>
    </xf>
    <xf numFmtId="168" fontId="16" fillId="0" borderId="10" xfId="0" applyNumberFormat="1" applyFont="1" applyBorder="1" applyAlignment="1">
      <alignment horizontal="center" vertical="center"/>
    </xf>
    <xf numFmtId="169" fontId="13" fillId="35" borderId="10" xfId="0" applyNumberFormat="1" applyFont="1" applyFill="1" applyBorder="1" applyAlignment="1">
      <alignment horizontal="center" vertical="center"/>
    </xf>
    <xf numFmtId="0" fontId="16" fillId="37" borderId="0" xfId="0" applyFont="1" applyFill="1" applyAlignment="1">
      <alignment horizontal="center"/>
    </xf>
    <xf numFmtId="0" fontId="23" fillId="42" borderId="0" xfId="0" applyFont="1" applyFill="1" applyAlignment="1">
      <alignment horizontal="center"/>
    </xf>
    <xf numFmtId="2" fontId="23" fillId="42" borderId="0" xfId="0" applyNumberFormat="1" applyFont="1" applyFill="1" applyAlignment="1">
      <alignment horizontal="center"/>
    </xf>
    <xf numFmtId="166" fontId="23" fillId="42" borderId="0" xfId="0" applyNumberFormat="1" applyFont="1" applyFill="1" applyAlignment="1">
      <alignment horizontal="center"/>
    </xf>
    <xf numFmtId="168" fontId="23" fillId="42" borderId="0" xfId="0" applyNumberFormat="1" applyFont="1" applyFill="1" applyAlignment="1">
      <alignment horizontal="center"/>
    </xf>
    <xf numFmtId="168" fontId="23" fillId="43" borderId="0" xfId="0" applyNumberFormat="1" applyFont="1" applyFill="1" applyAlignment="1">
      <alignment horizontal="center" vertical="center"/>
    </xf>
    <xf numFmtId="0" fontId="20" fillId="34" borderId="30" xfId="0" applyFont="1" applyFill="1" applyBorder="1" applyAlignment="1">
      <alignment horizontal="center" vertical="center"/>
    </xf>
    <xf numFmtId="0" fontId="20" fillId="34" borderId="31" xfId="0" applyFont="1" applyFill="1" applyBorder="1" applyAlignment="1">
      <alignment horizontal="center" vertical="center"/>
    </xf>
    <xf numFmtId="0" fontId="20" fillId="34" borderId="32" xfId="0" applyFont="1" applyFill="1" applyBorder="1" applyAlignment="1">
      <alignment horizontal="center" vertical="center"/>
    </xf>
    <xf numFmtId="0" fontId="18" fillId="34" borderId="16" xfId="0" applyFont="1" applyFill="1" applyBorder="1" applyAlignment="1">
      <alignment horizontal="center"/>
    </xf>
    <xf numFmtId="0" fontId="18" fillId="34" borderId="17" xfId="0" applyFont="1" applyFill="1" applyBorder="1" applyAlignment="1">
      <alignment horizontal="center"/>
    </xf>
    <xf numFmtId="0" fontId="18" fillId="34" borderId="18" xfId="0" applyFont="1" applyFill="1" applyBorder="1" applyAlignment="1">
      <alignment horizontal="center"/>
    </xf>
    <xf numFmtId="0" fontId="18" fillId="34" borderId="19" xfId="0" applyFont="1" applyFill="1" applyBorder="1" applyAlignment="1">
      <alignment horizontal="center"/>
    </xf>
    <xf numFmtId="0" fontId="18" fillId="34" borderId="20" xfId="0" applyFont="1" applyFill="1" applyBorder="1" applyAlignment="1">
      <alignment horizontal="center"/>
    </xf>
    <xf numFmtId="0" fontId="18" fillId="34" borderId="21" xfId="0" applyFont="1" applyFill="1" applyBorder="1" applyAlignment="1">
      <alignment horizontal="center"/>
    </xf>
    <xf numFmtId="0" fontId="20" fillId="34" borderId="22" xfId="0" applyFont="1" applyFill="1" applyBorder="1" applyAlignment="1">
      <alignment horizontal="center" vertical="center"/>
    </xf>
    <xf numFmtId="0" fontId="20" fillId="34" borderId="23" xfId="0" applyFont="1" applyFill="1" applyBorder="1" applyAlignment="1">
      <alignment horizontal="center" vertical="center"/>
    </xf>
    <xf numFmtId="0" fontId="20" fillId="34" borderId="24" xfId="0" applyFont="1" applyFill="1" applyBorder="1" applyAlignment="1">
      <alignment horizontal="center" vertical="center"/>
    </xf>
    <xf numFmtId="0" fontId="20" fillId="34" borderId="25" xfId="0" applyFont="1" applyFill="1" applyBorder="1" applyAlignment="1">
      <alignment horizontal="center" vertical="center"/>
    </xf>
    <xf numFmtId="0" fontId="20" fillId="34" borderId="0" xfId="0" applyFont="1" applyFill="1" applyAlignment="1">
      <alignment horizontal="center" vertical="center"/>
    </xf>
    <xf numFmtId="0" fontId="20" fillId="34" borderId="26" xfId="0" applyFont="1" applyFill="1" applyBorder="1" applyAlignment="1">
      <alignment horizontal="center" vertical="center"/>
    </xf>
    <xf numFmtId="0" fontId="20" fillId="34" borderId="27" xfId="0" applyFont="1" applyFill="1" applyBorder="1" applyAlignment="1">
      <alignment horizontal="center" vertical="center"/>
    </xf>
    <xf numFmtId="0" fontId="20" fillId="34" borderId="28" xfId="0" applyFont="1" applyFill="1" applyBorder="1" applyAlignment="1">
      <alignment horizontal="center" vertical="center"/>
    </xf>
    <xf numFmtId="0" fontId="20" fillId="34" borderId="29" xfId="0" applyFont="1" applyFill="1" applyBorder="1" applyAlignment="1">
      <alignment horizontal="center" vertical="center"/>
    </xf>
    <xf numFmtId="0" fontId="13" fillId="41" borderId="34" xfId="0" applyFont="1" applyFill="1" applyBorder="1" applyAlignment="1">
      <alignment horizontal="center" wrapText="1"/>
    </xf>
    <xf numFmtId="0" fontId="13" fillId="41" borderId="35" xfId="0" applyFont="1" applyFill="1" applyBorder="1" applyAlignment="1">
      <alignment horizontal="center"/>
    </xf>
    <xf numFmtId="0" fontId="13" fillId="41" borderId="36" xfId="0" applyFont="1" applyFill="1" applyBorder="1" applyAlignment="1">
      <alignment horizontal="center"/>
    </xf>
    <xf numFmtId="0" fontId="13" fillId="41" borderId="37" xfId="0" applyFont="1" applyFill="1" applyBorder="1" applyAlignment="1">
      <alignment horizontal="center"/>
    </xf>
    <xf numFmtId="0" fontId="13" fillId="41" borderId="38" xfId="0" applyFont="1" applyFill="1" applyBorder="1" applyAlignment="1">
      <alignment horizontal="center"/>
    </xf>
    <xf numFmtId="0" fontId="13" fillId="41" borderId="39" xfId="0" applyFont="1" applyFill="1" applyBorder="1" applyAlignment="1">
      <alignment horizontal="center"/>
    </xf>
    <xf numFmtId="0" fontId="0" fillId="44" borderId="0" xfId="0" applyFill="1"/>
    <xf numFmtId="0" fontId="16" fillId="45" borderId="0" xfId="0" applyFont="1" applyFill="1" applyAlignment="1">
      <alignment horizontal="center"/>
    </xf>
    <xf numFmtId="167" fontId="16" fillId="45" borderId="0" xfId="0" applyNumberFormat="1" applyFont="1" applyFill="1" applyAlignment="1">
      <alignment horizontal="center"/>
    </xf>
    <xf numFmtId="166" fontId="16" fillId="45" borderId="0" xfId="0" applyNumberFormat="1" applyFont="1" applyFill="1" applyAlignment="1">
      <alignment horizontal="center"/>
    </xf>
    <xf numFmtId="0" fontId="16" fillId="46" borderId="0" xfId="0" applyFont="1" applyFill="1" applyAlignment="1">
      <alignment horizontal="center"/>
    </xf>
    <xf numFmtId="167" fontId="16" fillId="46" borderId="0" xfId="0" applyNumberFormat="1" applyFont="1" applyFill="1" applyAlignment="1">
      <alignment horizontal="center"/>
    </xf>
    <xf numFmtId="166" fontId="16" fillId="46" borderId="0" xfId="0" applyNumberFormat="1" applyFont="1" applyFill="1" applyAlignment="1">
      <alignment horizontal="center"/>
    </xf>
    <xf numFmtId="2" fontId="16" fillId="45" borderId="0" xfId="0" applyNumberFormat="1" applyFont="1" applyFill="1" applyAlignment="1">
      <alignment horizontal="center"/>
    </xf>
    <xf numFmtId="168" fontId="16" fillId="45" borderId="0" xfId="0" applyNumberFormat="1" applyFont="1" applyFill="1" applyAlignment="1">
      <alignment horizontal="center"/>
    </xf>
    <xf numFmtId="165" fontId="16" fillId="45" borderId="0" xfId="0" applyNumberFormat="1" applyFont="1" applyFill="1" applyAlignment="1">
      <alignment horizontal="center"/>
    </xf>
    <xf numFmtId="0" fontId="23" fillId="47" borderId="0" xfId="0" applyFont="1" applyFill="1" applyAlignment="1">
      <alignment horizontal="center" vertical="center"/>
    </xf>
    <xf numFmtId="0" fontId="16" fillId="45" borderId="0" xfId="0" applyFont="1" applyFill="1" applyAlignment="1">
      <alignment horizontal="left"/>
    </xf>
    <xf numFmtId="168" fontId="13" fillId="39" borderId="0" xfId="0" applyNumberFormat="1" applyFont="1" applyFill="1" applyAlignment="1">
      <alignment horizontal="center"/>
    </xf>
    <xf numFmtId="0" fontId="13" fillId="39"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ont>
        <color theme="1"/>
      </font>
    </dxf>
    <dxf>
      <fill>
        <patternFill patternType="solid">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alignment horizontal="center"/>
    </dxf>
    <dxf>
      <alignment horizontal="center"/>
    </dxf>
    <dxf>
      <alignment horizontal="center"/>
    </dxf>
    <dxf>
      <alignment horizontal="left"/>
    </dxf>
    <dxf>
      <alignment horizontal="left"/>
    </dxf>
    <dxf>
      <numFmt numFmtId="168" formatCode="[&gt;999999]#,##0.0,,&quot;M&quot;;[&gt;999]#,##0,&quot;K&quot;;#,##0"/>
    </dxf>
    <dxf>
      <numFmt numFmtId="2" formatCode="0.00"/>
    </dxf>
    <dxf>
      <numFmt numFmtId="167" formatCode="0.0"/>
    </dxf>
    <dxf>
      <alignment horizontal="lef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sz val="12"/>
      </font>
    </dxf>
    <dxf>
      <font>
        <sz val="12"/>
      </font>
    </dxf>
    <dxf>
      <font>
        <sz val="12"/>
      </font>
    </dxf>
    <dxf>
      <font>
        <sz val="12"/>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alignment horizontal="center"/>
    </dxf>
    <dxf>
      <alignment horizontal="left"/>
    </dxf>
    <dxf>
      <font>
        <sz val="11"/>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theme="4" tint="0.59999389629810485"/>
        </patternFill>
      </fill>
    </dxf>
    <dxf>
      <fill>
        <patternFill>
          <bgColor theme="4" tint="0.59999389629810485"/>
        </patternFill>
      </fill>
    </dxf>
    <dxf>
      <font>
        <b/>
        <sz val="12"/>
        <color theme="0"/>
      </font>
      <fill>
        <patternFill patternType="solid">
          <fgColor indexed="64"/>
          <bgColor theme="4" tint="-0.249977111117893"/>
        </patternFill>
      </fill>
      <alignment horizontal="center" vertical="center"/>
    </dxf>
    <dxf>
      <font>
        <b/>
        <sz val="12"/>
        <color theme="0"/>
      </font>
      <fill>
        <patternFill patternType="solid">
          <fgColor indexed="64"/>
          <bgColor theme="4" tint="-0.249977111117893"/>
        </patternFill>
      </fill>
      <alignment horizontal="center" vertical="center"/>
    </dxf>
    <dxf>
      <font>
        <b/>
        <sz val="12"/>
        <color theme="0"/>
      </font>
      <fill>
        <patternFill patternType="solid">
          <fgColor indexed="64"/>
          <bgColor theme="4" tint="-0.249977111117893"/>
        </patternFill>
      </fill>
      <alignment horizontal="center" vertical="center"/>
    </dxf>
    <dxf>
      <font>
        <b/>
        <sz val="12"/>
        <color theme="0"/>
      </font>
      <fill>
        <patternFill patternType="solid">
          <fgColor indexed="64"/>
          <bgColor theme="4" tint="-0.249977111117893"/>
        </patternFill>
      </fill>
      <alignment horizontal="center" vertical="center"/>
    </dxf>
    <dxf>
      <numFmt numFmtId="167" formatCode="0.0"/>
    </dxf>
    <dxf>
      <numFmt numFmtId="2" formatCode="0.00"/>
    </dxf>
    <dxf>
      <numFmt numFmtId="168" formatCode="[&gt;999999]#,##0.0,,&quot;M&quot;;[&gt;999]#,##0,&quot;K&quot;;#,##0"/>
    </dxf>
    <dxf>
      <alignment horizontal="center"/>
    </dxf>
    <dxf>
      <fill>
        <patternFill patternType="solid">
          <bgColor theme="3" tint="0.499984740745262"/>
        </patternFill>
      </fill>
    </dxf>
    <dxf>
      <fill>
        <patternFill patternType="solid">
          <bgColor theme="3" tint="0.499984740745262"/>
        </patternFill>
      </fill>
    </dxf>
    <dxf>
      <font>
        <b/>
      </font>
    </dxf>
    <dxf>
      <font>
        <b/>
      </font>
    </dxf>
    <dxf>
      <font>
        <color theme="0"/>
      </font>
    </dxf>
    <dxf>
      <alignment horizontal="center"/>
    </dxf>
    <dxf>
      <alignment horizontal="center"/>
    </dxf>
    <dxf>
      <alignment horizontal="center"/>
    </dxf>
    <dxf>
      <alignment horizontal="center"/>
    </dxf>
    <dxf>
      <alignment horizontal="center"/>
    </dxf>
    <dxf>
      <alignment horizontal="left"/>
    </dxf>
    <dxf>
      <font>
        <color theme="1"/>
      </font>
    </dxf>
    <dxf>
      <font>
        <color theme="1"/>
      </font>
    </dxf>
    <dxf>
      <fill>
        <patternFill>
          <bgColor theme="4" tint="0.59999389629810485"/>
        </patternFill>
      </fill>
    </dxf>
    <dxf>
      <fill>
        <patternFill>
          <bgColor theme="4" tint="0.59999389629810485"/>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ill>
        <patternFill>
          <bgColor theme="3" tint="0.499984740745262"/>
        </patternFill>
      </fill>
    </dxf>
    <dxf>
      <alignment horizontal="center"/>
    </dxf>
    <dxf>
      <alignment horizontal="center"/>
    </dxf>
    <dxf>
      <alignment horizontal="center"/>
    </dxf>
    <dxf>
      <font>
        <b/>
      </font>
    </dxf>
    <dxf>
      <font>
        <b/>
      </font>
    </dxf>
    <dxf>
      <font>
        <color theme="0"/>
      </font>
    </dxf>
    <dxf>
      <numFmt numFmtId="165" formatCode="[&gt;=1000000]#,,\ &quot;M&quot;;[&gt;=1000]#,\ &quot;K&quot;;#"/>
    </dxf>
    <dxf>
      <numFmt numFmtId="168" formatCode="[&gt;999999]#,##0.0,,&quot;M&quot;;[&gt;999]#,##0,&quot;K&quot;;#,##0"/>
    </dxf>
    <dxf>
      <font>
        <color theme="1"/>
      </font>
    </dxf>
    <dxf>
      <font>
        <color theme="1"/>
      </font>
    </dxf>
    <dxf>
      <fill>
        <patternFill>
          <fgColor indexed="64"/>
          <bgColor theme="4" tint="-0.249977111117893"/>
        </patternFill>
      </fill>
      <alignment vertical="center"/>
    </dxf>
    <dxf>
      <fill>
        <patternFill>
          <fgColor indexed="64"/>
          <bgColor theme="4" tint="-0.249977111117893"/>
        </patternFill>
      </fill>
      <alignment vertical="center"/>
    </dxf>
    <dxf>
      <fill>
        <patternFill>
          <fgColor indexed="64"/>
          <bgColor theme="4" tint="-0.249977111117893"/>
        </patternFill>
      </fill>
      <alignment vertical="center"/>
    </dxf>
    <dxf>
      <fill>
        <patternFill>
          <fgColor indexed="64"/>
          <bgColor theme="4" tint="-0.249977111117893"/>
        </patternFill>
      </fill>
      <alignment vertical="center"/>
    </dxf>
    <dxf>
      <numFmt numFmtId="168" formatCode="[&gt;999999]#,##0.0,,&quot;M&quot;;[&gt;999]#,##0,&quot;K&quot;;#,##0"/>
      <fill>
        <patternFill>
          <fgColor theme="3" tint="0.499984740745262"/>
        </patternFill>
      </fill>
    </dxf>
    <dxf>
      <fill>
        <patternFill>
          <bgColor theme="4" tint="-0.249977111117893"/>
        </patternFill>
      </fill>
    </dxf>
    <dxf>
      <alignment horizontal="center"/>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ill>
        <patternFill>
          <bgColor theme="3" tint="9.9978637043366805E-2"/>
        </patternFill>
      </fill>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3" tint="0.499984740745262"/>
        </patternFill>
      </fill>
    </dxf>
    <dxf>
      <fill>
        <patternFill patternType="solid">
          <bgColor theme="3" tint="0.499984740745262"/>
        </patternFill>
      </fill>
    </dxf>
    <dxf>
      <font>
        <b/>
      </font>
    </dxf>
    <dxf>
      <font>
        <b/>
      </font>
    </dxf>
    <dxf>
      <numFmt numFmtId="165" formatCode="[&gt;=1000000]#,,\ &quot;M&quot;;[&gt;=1000]#,\ &quot;K&quot;;#"/>
    </dxf>
    <dxf>
      <numFmt numFmtId="165" formatCode="[&gt;=1000000]#,,\ &quot;M&quot;;[&gt;=1000]#,\ &quot;K&quot;;#"/>
    </dxf>
    <dxf>
      <numFmt numFmtId="165" formatCode="[&gt;=1000000]#,,\ &quot;M&quot;;[&gt;=1000]#,\ &quot;K&quot;;#"/>
    </dxf>
    <dxf>
      <numFmt numFmtId="166" formatCode="&quot;$&quot;#,##0.00"/>
    </dxf>
    <dxf>
      <numFmt numFmtId="166" formatCode="&quot;$&quot;#,##0.00"/>
    </dxf>
    <dxf>
      <numFmt numFmtId="166" formatCode="&quot;$&quot;#,##0.00"/>
    </dxf>
    <dxf>
      <font>
        <b/>
        <sz val="12"/>
        <color theme="0"/>
      </font>
      <fill>
        <patternFill patternType="solid">
          <fgColor indexed="64"/>
          <bgColor theme="4" tint="-0.249977111117893"/>
        </patternFill>
      </fill>
      <alignment horizontal="center" vertical="center"/>
    </dxf>
    <dxf>
      <font>
        <b/>
        <sz val="12"/>
        <color theme="0"/>
      </font>
      <fill>
        <patternFill patternType="solid">
          <fgColor indexed="64"/>
          <bgColor theme="4" tint="-0.249977111117893"/>
        </patternFill>
      </fill>
      <alignment horizontal="center" vertical="center"/>
    </dxf>
    <dxf>
      <alignment horizontal="center"/>
    </dxf>
    <dxf>
      <numFmt numFmtId="168" formatCode="[&gt;999999]#,##0.0,,&quot;M&quot;;[&gt;999]#,##0,&quot;K&quot;;#,##0"/>
    </dxf>
    <dxf>
      <numFmt numFmtId="168" formatCode="[&gt;999999]#,##0.0,,&quot;M&quot;;[&gt;999]#,##0,&quot;K&quot;;#,##0"/>
    </dxf>
    <dxf>
      <numFmt numFmtId="166" formatCode="&quot;$&quot;#,##0.00"/>
    </dxf>
    <dxf>
      <numFmt numFmtId="168" formatCode="[&gt;999999]#,##0.0,,&quot;M&quot;;[&gt;999]#,##0,&quot;K&quot;;#,##0"/>
    </dxf>
    <dxf>
      <numFmt numFmtId="166" formatCode="&quot;$&quot;#,##0.00"/>
    </dxf>
    <dxf>
      <numFmt numFmtId="166" formatCode="&quot;$&quot;#,##0.00"/>
    </dxf>
    <dxf>
      <font>
        <color theme="1"/>
      </font>
    </dxf>
    <dxf>
      <font>
        <color theme="1"/>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alignment horizontal="center"/>
    </dxf>
    <dxf>
      <alignment horizontal="center"/>
    </dxf>
    <dxf>
      <font>
        <b/>
        <sz val="12"/>
        <color theme="0"/>
      </font>
      <fill>
        <patternFill>
          <fgColor theme="4" tint="-0.249977111117893"/>
        </patternFill>
      </fill>
      <alignment horizontal="center"/>
    </dxf>
    <dxf>
      <font>
        <b/>
        <sz val="12"/>
        <color theme="0"/>
      </font>
      <fill>
        <patternFill>
          <fgColor theme="4" tint="-0.249977111117893"/>
        </patternFill>
      </fill>
      <alignment horizontal="center"/>
    </dxf>
    <dxf>
      <numFmt numFmtId="165" formatCode="[&gt;=1000000]#,,\ &quot;M&quot;;[&gt;=1000]#,\ &quot;K&quot;;#"/>
    </dxf>
    <dxf>
      <alignment horizontal="center"/>
    </dxf>
    <dxf>
      <font>
        <b/>
      </font>
    </dxf>
    <dxf>
      <font>
        <b/>
      </font>
    </dxf>
    <dxf>
      <font>
        <color theme="0"/>
      </font>
    </dxf>
    <dxf>
      <font>
        <color theme="0"/>
      </font>
    </dxf>
    <dxf>
      <alignment horizontal="center"/>
    </dxf>
    <dxf>
      <alignment horizontal="center"/>
    </dxf>
    <dxf>
      <numFmt numFmtId="168" formatCode="[&gt;999999]#,##0.0,,&quot;M&quot;;[&gt;999]#,##0,&quot;K&quot;;#,##0"/>
    </dxf>
    <dxf>
      <font>
        <color theme="1"/>
      </font>
    </dxf>
    <dxf>
      <font>
        <color theme="1"/>
      </font>
    </dxf>
    <dxf>
      <fill>
        <patternFill>
          <bgColor theme="4" tint="-0.249977111117893"/>
        </patternFill>
      </fill>
    </dxf>
    <dxf>
      <fill>
        <patternFill>
          <bgColor theme="4" tint="-0.249977111117893"/>
        </patternFill>
      </fill>
    </dxf>
    <dxf>
      <font>
        <color theme="1"/>
      </font>
    </dxf>
    <dxf>
      <font>
        <color theme="1"/>
      </font>
    </dxf>
    <dxf>
      <fill>
        <patternFill>
          <bgColor theme="4" tint="-0.249977111117893"/>
        </patternFill>
      </fill>
    </dxf>
    <dxf>
      <fill>
        <patternFill>
          <bgColor theme="4" tint="-0.249977111117893"/>
        </patternFill>
      </fill>
    </dxf>
    <dxf>
      <font>
        <color theme="0"/>
      </font>
    </dxf>
    <dxf>
      <font>
        <color theme="0"/>
      </font>
    </dxf>
    <dxf>
      <fill>
        <patternFill>
          <bgColor theme="4" tint="0.59999389629810485"/>
        </patternFill>
      </fill>
    </dxf>
    <dxf>
      <fill>
        <patternFill>
          <bgColor theme="4" tint="0.59999389629810485"/>
        </patternFill>
      </fill>
    </dxf>
    <dxf>
      <font>
        <color theme="0"/>
      </font>
    </dxf>
    <dxf>
      <font>
        <color theme="0"/>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dxf>
    <dxf>
      <font>
        <color theme="0"/>
      </font>
    </dxf>
    <dxf>
      <font>
        <color theme="0"/>
      </font>
    </dxf>
    <dxf>
      <font>
        <color theme="0"/>
      </font>
    </dxf>
    <dxf>
      <fill>
        <patternFill>
          <bgColor theme="3" tint="0.749992370372631"/>
        </patternFill>
      </fill>
    </dxf>
    <dxf>
      <fill>
        <patternFill>
          <bgColor theme="4" tint="-0.249977111117893"/>
        </patternFill>
      </fill>
    </dxf>
    <dxf>
      <fill>
        <patternFill>
          <bgColor theme="3" tint="0.499984740745262"/>
        </patternFill>
      </fill>
    </dxf>
    <dxf>
      <fill>
        <patternFill>
          <bgColor theme="3" tint="0.499984740745262"/>
        </patternFill>
      </fill>
    </dxf>
    <dxf>
      <font>
        <b/>
      </font>
    </dxf>
    <dxf>
      <font>
        <b/>
      </font>
    </dxf>
    <dxf>
      <alignment horizontal="left"/>
    </dxf>
    <dxf>
      <alignment horizontal="center"/>
    </dxf>
    <dxf>
      <font>
        <sz val="12"/>
      </font>
    </dxf>
    <dxf>
      <font>
        <sz val="12"/>
      </font>
    </dxf>
    <dxf>
      <fill>
        <patternFill>
          <bgColor theme="4" tint="-0.249977111117893"/>
        </patternFill>
      </fill>
    </dxf>
    <dxf>
      <font>
        <b/>
        <sz val="12"/>
      </font>
      <fill>
        <patternFill>
          <fgColor theme="4" tint="-0.249977111117893"/>
        </patternFill>
      </fill>
      <alignment horizontal="center"/>
    </dxf>
    <dxf>
      <font>
        <b/>
        <sz val="12"/>
      </font>
      <fill>
        <patternFill>
          <fgColor theme="4" tint="-0.249977111117893"/>
        </patternFill>
      </fill>
      <alignment horizontal="center"/>
    </dxf>
    <dxf>
      <numFmt numFmtId="167" formatCode="0.0"/>
    </dxf>
    <dxf>
      <numFmt numFmtId="2" formatCode="0.00"/>
    </dxf>
    <dxf>
      <fill>
        <patternFill>
          <bgColor theme="3" tint="0.499984740745262"/>
        </patternFill>
      </fill>
    </dxf>
    <dxf>
      <fill>
        <patternFill>
          <bgColor theme="3" tint="0.499984740745262"/>
        </patternFill>
      </fill>
    </dxf>
    <dxf>
      <font>
        <b/>
      </font>
    </dxf>
    <dxf>
      <font>
        <b/>
      </font>
    </dxf>
    <dxf>
      <alignment horizontal="center"/>
    </dxf>
    <dxf>
      <alignment horizontal="center"/>
    </dxf>
    <dxf>
      <alignment horizontal="center"/>
    </dxf>
    <dxf>
      <alignment horizontal="center"/>
    </dxf>
    <dxf>
      <fill>
        <patternFill patternType="none">
          <bgColor auto="1"/>
        </patternFill>
      </fill>
    </dxf>
    <dxf>
      <numFmt numFmtId="2" formatCode="0.00"/>
    </dxf>
    <dxf>
      <alignment horizontal="center"/>
    </dxf>
    <dxf>
      <font>
        <color theme="1"/>
      </font>
    </dxf>
    <dxf>
      <font>
        <color theme="1"/>
      </font>
    </dxf>
    <dxf>
      <fill>
        <patternFill>
          <bgColor theme="4" tint="0.59999389629810485"/>
        </patternFill>
      </fill>
    </dxf>
    <dxf>
      <fill>
        <patternFill>
          <bgColor theme="4" tint="0.59999389629810485"/>
        </patternFill>
      </fill>
    </dxf>
    <dxf>
      <fill>
        <patternFill patternType="solid">
          <bgColor theme="7" tint="0.59999389629810485"/>
        </patternFill>
      </fill>
    </dxf>
    <dxf>
      <fill>
        <patternFill>
          <bgColor rgb="FFEFB69F"/>
        </patternFill>
      </fill>
    </dxf>
    <dxf>
      <numFmt numFmtId="167" formatCode="0.0"/>
    </dxf>
    <dxf>
      <numFmt numFmtId="170" formatCode="0.000"/>
    </dxf>
    <dxf>
      <font>
        <color theme="1"/>
      </font>
    </dxf>
    <dxf>
      <font>
        <color theme="1"/>
      </font>
    </dxf>
    <dxf>
      <font>
        <color theme="1"/>
      </font>
    </dxf>
    <dxf>
      <font>
        <color theme="1"/>
      </font>
    </dxf>
    <dxf>
      <font>
        <color theme="1"/>
      </font>
    </dxf>
    <dxf>
      <font>
        <color theme="1"/>
      </font>
    </dxf>
    <dxf>
      <fill>
        <patternFill>
          <bgColor rgb="FFEFB69F"/>
        </patternFill>
      </fill>
    </dxf>
    <dxf>
      <fill>
        <patternFill>
          <bgColor rgb="FFEFB69F"/>
        </patternFill>
      </fill>
    </dxf>
    <dxf>
      <fill>
        <patternFill>
          <bgColor rgb="FFEFB69F"/>
        </patternFill>
      </fill>
    </dxf>
    <dxf>
      <fill>
        <patternFill>
          <bgColor rgb="FFEFB69F"/>
        </patternFill>
      </fill>
    </dxf>
    <dxf>
      <fill>
        <patternFill>
          <bgColor rgb="FFEFB69F"/>
        </patternFill>
      </fill>
    </dxf>
    <dxf>
      <font>
        <sz val="12"/>
      </font>
    </dxf>
    <dxf>
      <font>
        <sz val="12"/>
      </font>
    </dxf>
    <dxf>
      <font>
        <b/>
      </font>
    </dxf>
    <dxf>
      <font>
        <b/>
      </font>
    </dxf>
    <dxf>
      <font>
        <b/>
      </font>
    </dxf>
    <dxf>
      <font>
        <b/>
      </font>
    </dxf>
    <dxf>
      <font>
        <sz val="12"/>
      </font>
    </dxf>
    <dxf>
      <font>
        <sz val="12"/>
      </font>
    </dxf>
    <dxf>
      <fill>
        <patternFill>
          <fgColor theme="3" tint="0.249977111117893"/>
        </patternFill>
      </fill>
    </dxf>
    <dxf>
      <fill>
        <patternFill>
          <fgColor theme="3" tint="0.249977111117893"/>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ill>
        <patternFill>
          <bgColor theme="1" tint="0.499984740745262"/>
        </patternFill>
      </fill>
    </dxf>
    <dxf>
      <fill>
        <patternFill>
          <bgColor theme="1" tint="0.499984740745262"/>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3" tint="0.499984740745262"/>
        </patternFill>
      </fill>
    </dxf>
    <dxf>
      <font>
        <b/>
        <sz val="12"/>
      </font>
      <fill>
        <patternFill>
          <fgColor theme="4" tint="-0.249977111117893"/>
        </patternFill>
      </fill>
    </dxf>
    <dxf>
      <alignment horizontal="center"/>
    </dxf>
    <dxf>
      <alignment horizontal="center"/>
    </dxf>
    <dxf>
      <alignment horizontal="center"/>
    </dxf>
    <dxf>
      <alignment horizontal="center"/>
    </dxf>
    <dxf>
      <fill>
        <patternFill patternType="none">
          <bgColor auto="1"/>
        </patternFill>
      </fill>
    </dxf>
    <dxf>
      <alignment horizontal="center"/>
    </dxf>
    <dxf>
      <fill>
        <patternFill>
          <bgColor rgb="FFF6D4C6"/>
        </patternFill>
      </fill>
    </dxf>
    <dxf>
      <font>
        <color theme="1"/>
      </font>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fgColor theme="4" tint="-0.249977111117893"/>
        </patternFill>
      </fill>
    </dxf>
    <dxf>
      <fill>
        <patternFill>
          <fgColor theme="4" tint="-0.249977111117893"/>
        </patternFill>
      </fill>
    </dxf>
    <dxf>
      <font>
        <b/>
      </font>
      <fill>
        <patternFill>
          <fgColor theme="4" tint="-0.249977111117893"/>
        </patternFill>
      </fill>
    </dxf>
    <dxf>
      <font>
        <b/>
      </font>
      <fill>
        <patternFill>
          <fgColor theme="4" tint="-0.249977111117893"/>
        </patternFill>
      </fill>
    </dxf>
    <dxf>
      <fill>
        <patternFill>
          <fgColor theme="3" tint="0.499984740745262"/>
        </patternFill>
      </fill>
    </dxf>
    <dxf>
      <fill>
        <patternFill>
          <fgColor theme="3" tint="0.499984740745262"/>
        </patternFill>
      </fill>
    </dxf>
    <dxf>
      <numFmt numFmtId="167" formatCode="0.0"/>
    </dxf>
    <dxf>
      <numFmt numFmtId="2" formatCode="0.00"/>
    </dxf>
    <dxf>
      <numFmt numFmtId="166" formatCode="&quot;$&quot;#,##0.00"/>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color theme="1"/>
      </font>
    </dxf>
    <dxf>
      <font>
        <color theme="1"/>
      </font>
    </dxf>
    <dxf>
      <font>
        <b/>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2"/>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b/>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fill>
        <patternFill patternType="none">
          <fgColor indexed="64"/>
          <bgColor auto="1"/>
        </patternFill>
      </fill>
      <alignment horizontal="center" vertical="center" textRotation="0" indent="0" justifyLastLine="0" shrinkToFit="0" readingOrder="0"/>
    </dxf>
    <dxf>
      <border>
        <bottom style="thin">
          <color indexed="64"/>
        </bottom>
      </border>
    </dxf>
    <dxf>
      <font>
        <b/>
        <strike val="0"/>
        <outline val="0"/>
        <shadow val="0"/>
        <u val="none"/>
        <vertAlign val="baseline"/>
        <sz val="12"/>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65" formatCode="[&gt;=1000000]#,,\ &quot;M&quot;;[&gt;=1000]#,\ &quot;K&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2"/>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colors>
    <mruColors>
      <color rgb="FF980202"/>
      <color rgb="FFCF7CE0"/>
      <color rgb="FFFF6B1A"/>
      <color rgb="FF4CAF50"/>
      <color rgb="FFCC3200"/>
      <color rgb="FFD12820"/>
      <color rgb="FFB92627"/>
      <color rgb="FFFA0404"/>
      <color rgb="FFFD3939"/>
      <color rgb="FFE686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1!Average( User Rating, price) per year</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tint val="77000"/>
            </a:schemeClr>
          </a:solidFill>
          <a:ln>
            <a:noFill/>
          </a:ln>
          <a:effectLst/>
        </c:spPr>
      </c:pivotFmt>
      <c:pivotFmt>
        <c:idx val="7"/>
        <c:spPr>
          <a:solidFill>
            <a:schemeClr val="accent1">
              <a:tint val="77000"/>
            </a:schemeClr>
          </a:solidFill>
          <a:ln>
            <a:noFill/>
          </a:ln>
          <a:effectLst/>
        </c:spPr>
      </c:pivotFmt>
      <c:pivotFmt>
        <c:idx val="8"/>
        <c:spPr>
          <a:solidFill>
            <a:schemeClr val="accent1"/>
          </a:solidFill>
          <a:ln>
            <a:noFill/>
          </a:ln>
          <a:effectLst/>
        </c:spPr>
        <c:dLbl>
          <c:idx val="0"/>
          <c:layout>
            <c:manualLayout>
              <c:x val="-6.0702030937005149E-3"/>
              <c:y val="-4.6475974553232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0351015468502575E-3"/>
              <c:y val="-4.6475974553232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0351015468502575E-3"/>
              <c:y val="4.5105852727767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77000"/>
            </a:schemeClr>
          </a:solidFill>
          <a:ln>
            <a:noFill/>
          </a:ln>
          <a:effectLst/>
        </c:spPr>
        <c:dLbl>
          <c:idx val="0"/>
          <c:layout>
            <c:manualLayout>
              <c:x val="-6.0702030937005149E-3"/>
              <c:y val="-4.6475974553232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a:noFill/>
          </a:ln>
          <a:effectLst/>
        </c:spPr>
        <c:dLbl>
          <c:idx val="0"/>
          <c:layout>
            <c:manualLayout>
              <c:x val="-3.0351015468502575E-3"/>
              <c:y val="-4.6475974553232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tint val="77000"/>
            </a:schemeClr>
          </a:solidFill>
          <a:ln>
            <a:noFill/>
          </a:ln>
          <a:effectLst/>
        </c:spPr>
        <c:dLbl>
          <c:idx val="0"/>
          <c:layout>
            <c:manualLayout>
              <c:x val="3.0351015468502575E-3"/>
              <c:y val="4.5105852727767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77000"/>
            </a:schemeClr>
          </a:solidFill>
          <a:ln>
            <a:noFill/>
          </a:ln>
          <a:effectLst/>
        </c:spPr>
        <c:dLbl>
          <c:idx val="0"/>
          <c:layout>
            <c:manualLayout>
              <c:x val="-6.0702030937005149E-3"/>
              <c:y val="-4.6475974553232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77000"/>
            </a:schemeClr>
          </a:solidFill>
          <a:ln>
            <a:noFill/>
          </a:ln>
          <a:effectLst/>
        </c:spPr>
        <c:dLbl>
          <c:idx val="0"/>
          <c:layout>
            <c:manualLayout>
              <c:x val="-3.0351015468502575E-3"/>
              <c:y val="-4.6475974553232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tint val="77000"/>
            </a:schemeClr>
          </a:solidFill>
          <a:ln>
            <a:noFill/>
          </a:ln>
          <a:effectLst/>
        </c:spPr>
        <c:dLbl>
          <c:idx val="0"/>
          <c:layout>
            <c:manualLayout>
              <c:x val="3.0351015468502575E-3"/>
              <c:y val="4.5105852727767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69551861282005E-2"/>
          <c:y val="5.0370005004550245E-2"/>
          <c:w val="0.56084733343625592"/>
          <c:h val="0.79944300942211144"/>
        </c:manualLayout>
      </c:layout>
      <c:barChart>
        <c:barDir val="col"/>
        <c:grouping val="clustered"/>
        <c:varyColors val="0"/>
        <c:ser>
          <c:idx val="0"/>
          <c:order val="0"/>
          <c:tx>
            <c:strRef>
              <c:f>'Relation 1'!$C$6</c:f>
              <c:strCache>
                <c:ptCount val="1"/>
                <c:pt idx="0">
                  <c:v>Average of User Rating</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1'!$B$7:$B$18</c:f>
              <c:strCache>
                <c:ptCount val="11"/>
                <c:pt idx="0">
                  <c:v>2011</c:v>
                </c:pt>
                <c:pt idx="1">
                  <c:v>2012</c:v>
                </c:pt>
                <c:pt idx="2">
                  <c:v>2013</c:v>
                </c:pt>
                <c:pt idx="3">
                  <c:v>2014</c:v>
                </c:pt>
                <c:pt idx="4">
                  <c:v>2019</c:v>
                </c:pt>
                <c:pt idx="5">
                  <c:v>2010</c:v>
                </c:pt>
                <c:pt idx="6">
                  <c:v>2009</c:v>
                </c:pt>
                <c:pt idx="7">
                  <c:v>2015</c:v>
                </c:pt>
                <c:pt idx="8">
                  <c:v>2016</c:v>
                </c:pt>
                <c:pt idx="9">
                  <c:v>2017</c:v>
                </c:pt>
                <c:pt idx="10">
                  <c:v>2018</c:v>
                </c:pt>
              </c:strCache>
            </c:strRef>
          </c:cat>
          <c:val>
            <c:numRef>
              <c:f>'Relation 1'!$C$7:$C$18</c:f>
              <c:numCache>
                <c:formatCode>0.0</c:formatCode>
                <c:ptCount val="11"/>
                <c:pt idx="0">
                  <c:v>4.5580000000000007</c:v>
                </c:pt>
                <c:pt idx="1">
                  <c:v>4.532</c:v>
                </c:pt>
                <c:pt idx="2">
                  <c:v>4.5540000000000003</c:v>
                </c:pt>
                <c:pt idx="3">
                  <c:v>4.616666666666668</c:v>
                </c:pt>
                <c:pt idx="4">
                  <c:v>4.740000000000002</c:v>
                </c:pt>
                <c:pt idx="5">
                  <c:v>4.5579999999999998</c:v>
                </c:pt>
                <c:pt idx="6">
                  <c:v>4.5839999999999996</c:v>
                </c:pt>
                <c:pt idx="7">
                  <c:v>4.6479999999999997</c:v>
                </c:pt>
                <c:pt idx="8">
                  <c:v>4.6780000000000008</c:v>
                </c:pt>
                <c:pt idx="9">
                  <c:v>4.66</c:v>
                </c:pt>
                <c:pt idx="10">
                  <c:v>4.6680000000000028</c:v>
                </c:pt>
              </c:numCache>
            </c:numRef>
          </c:val>
          <c:extLst>
            <c:ext xmlns:c16="http://schemas.microsoft.com/office/drawing/2014/chart" uri="{C3380CC4-5D6E-409C-BE32-E72D297353CC}">
              <c16:uniqueId val="{00000000-9E5E-4BDE-9E3F-9A5FB4A2C08F}"/>
            </c:ext>
          </c:extLst>
        </c:ser>
        <c:ser>
          <c:idx val="1"/>
          <c:order val="1"/>
          <c:tx>
            <c:strRef>
              <c:f>'Relation 1'!$D$6</c:f>
              <c:strCache>
                <c:ptCount val="1"/>
                <c:pt idx="0">
                  <c:v>Average of Price</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1-9E5E-4BDE-9E3F-9A5FB4A2C08F}"/>
              </c:ext>
            </c:extLst>
          </c:dPt>
          <c:dPt>
            <c:idx val="2"/>
            <c:invertIfNegative val="0"/>
            <c:bubble3D val="0"/>
            <c:extLst>
              <c:ext xmlns:c16="http://schemas.microsoft.com/office/drawing/2014/chart" uri="{C3380CC4-5D6E-409C-BE32-E72D297353CC}">
                <c16:uniqueId val="{00000002-9E5E-4BDE-9E3F-9A5FB4A2C08F}"/>
              </c:ext>
            </c:extLst>
          </c:dPt>
          <c:dPt>
            <c:idx val="4"/>
            <c:invertIfNegative val="0"/>
            <c:bubble3D val="0"/>
            <c:extLst>
              <c:ext xmlns:c16="http://schemas.microsoft.com/office/drawing/2014/chart" uri="{C3380CC4-5D6E-409C-BE32-E72D297353CC}">
                <c16:uniqueId val="{00000003-9E5E-4BDE-9E3F-9A5FB4A2C08F}"/>
              </c:ext>
            </c:extLst>
          </c:dPt>
          <c:dLbls>
            <c:dLbl>
              <c:idx val="0"/>
              <c:layout>
                <c:manualLayout>
                  <c:x val="-6.0702030937005149E-3"/>
                  <c:y val="-4.647597455323232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5E-4BDE-9E3F-9A5FB4A2C08F}"/>
                </c:ext>
              </c:extLst>
            </c:dLbl>
            <c:dLbl>
              <c:idx val="2"/>
              <c:layout>
                <c:manualLayout>
                  <c:x val="-3.0351015468502575E-3"/>
                  <c:y val="-4.64759745532321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5E-4BDE-9E3F-9A5FB4A2C08F}"/>
                </c:ext>
              </c:extLst>
            </c:dLbl>
            <c:dLbl>
              <c:idx val="4"/>
              <c:layout>
                <c:manualLayout>
                  <c:x val="3.0351015468502575E-3"/>
                  <c:y val="4.51058527277679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5E-4BDE-9E3F-9A5FB4A2C0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1'!$B$7:$B$18</c:f>
              <c:strCache>
                <c:ptCount val="11"/>
                <c:pt idx="0">
                  <c:v>2011</c:v>
                </c:pt>
                <c:pt idx="1">
                  <c:v>2012</c:v>
                </c:pt>
                <c:pt idx="2">
                  <c:v>2013</c:v>
                </c:pt>
                <c:pt idx="3">
                  <c:v>2014</c:v>
                </c:pt>
                <c:pt idx="4">
                  <c:v>2019</c:v>
                </c:pt>
                <c:pt idx="5">
                  <c:v>2010</c:v>
                </c:pt>
                <c:pt idx="6">
                  <c:v>2009</c:v>
                </c:pt>
                <c:pt idx="7">
                  <c:v>2015</c:v>
                </c:pt>
                <c:pt idx="8">
                  <c:v>2016</c:v>
                </c:pt>
                <c:pt idx="9">
                  <c:v>2017</c:v>
                </c:pt>
                <c:pt idx="10">
                  <c:v>2018</c:v>
                </c:pt>
              </c:strCache>
            </c:strRef>
          </c:cat>
          <c:val>
            <c:numRef>
              <c:f>'Relation 1'!$D$7:$D$18</c:f>
              <c:numCache>
                <c:formatCode>"$"#,##0.00</c:formatCode>
                <c:ptCount val="11"/>
                <c:pt idx="0">
                  <c:v>15.32</c:v>
                </c:pt>
                <c:pt idx="1">
                  <c:v>15.3</c:v>
                </c:pt>
                <c:pt idx="2">
                  <c:v>14.94</c:v>
                </c:pt>
                <c:pt idx="3">
                  <c:v>15.333333333333334</c:v>
                </c:pt>
                <c:pt idx="4">
                  <c:v>10.08</c:v>
                </c:pt>
                <c:pt idx="5">
                  <c:v>13.68</c:v>
                </c:pt>
                <c:pt idx="6">
                  <c:v>15.4</c:v>
                </c:pt>
                <c:pt idx="7">
                  <c:v>10.56</c:v>
                </c:pt>
                <c:pt idx="8">
                  <c:v>13.46</c:v>
                </c:pt>
                <c:pt idx="9">
                  <c:v>11.64</c:v>
                </c:pt>
                <c:pt idx="10">
                  <c:v>10.52</c:v>
                </c:pt>
              </c:numCache>
            </c:numRef>
          </c:val>
          <c:extLst>
            <c:ext xmlns:c16="http://schemas.microsoft.com/office/drawing/2014/chart" uri="{C3380CC4-5D6E-409C-BE32-E72D297353CC}">
              <c16:uniqueId val="{00000004-9E5E-4BDE-9E3F-9A5FB4A2C08F}"/>
            </c:ext>
          </c:extLst>
        </c:ser>
        <c:dLbls>
          <c:dLblPos val="outEnd"/>
          <c:showLegendKey val="0"/>
          <c:showVal val="1"/>
          <c:showCatName val="0"/>
          <c:showSerName val="0"/>
          <c:showPercent val="0"/>
          <c:showBubbleSize val="0"/>
        </c:dLbls>
        <c:gapWidth val="219"/>
        <c:overlap val="-27"/>
        <c:axId val="1219026031"/>
        <c:axId val="1219026511"/>
      </c:barChart>
      <c:catAx>
        <c:axId val="12190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26511"/>
        <c:crosses val="autoZero"/>
        <c:auto val="1"/>
        <c:lblAlgn val="ctr"/>
        <c:lblOffset val="100"/>
        <c:noMultiLvlLbl val="0"/>
      </c:catAx>
      <c:valAx>
        <c:axId val="1219026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2,3!sum reviews by genre</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100" b="1">
                <a:solidFill>
                  <a:schemeClr val="tx1"/>
                </a:solidFill>
              </a:rPr>
              <a:t>Total Reviews</a:t>
            </a:r>
            <a:r>
              <a:rPr lang="en-US" sz="1100" b="1" baseline="0">
                <a:solidFill>
                  <a:schemeClr val="tx1"/>
                </a:solidFill>
              </a:rPr>
              <a:t> Per Genre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s>
    <c:plotArea>
      <c:layout/>
      <c:pieChart>
        <c:varyColors val="1"/>
        <c:ser>
          <c:idx val="0"/>
          <c:order val="0"/>
          <c:tx>
            <c:strRef>
              <c:f>'Relation 2,3'!$M$11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B5F-4F78-929C-EE074928005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B5F-4F78-929C-EE07492800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'Relation 2,3'!$L$12:$L$14</c:f>
              <c:strCache>
                <c:ptCount val="2"/>
                <c:pt idx="0">
                  <c:v>Fiction</c:v>
                </c:pt>
                <c:pt idx="1">
                  <c:v>Non Fiction</c:v>
                </c:pt>
              </c:strCache>
            </c:strRef>
          </c:cat>
          <c:val>
            <c:numRef>
              <c:f>'Relation 2,3'!$M$12:$M$14</c:f>
              <c:numCache>
                <c:formatCode>[&gt;999999]#,##0.0,,"M";[&gt;999]#,##0,"K";#,##0</c:formatCode>
                <c:ptCount val="2"/>
                <c:pt idx="0">
                  <c:v>3713628</c:v>
                </c:pt>
                <c:pt idx="1">
                  <c:v>2780522</c:v>
                </c:pt>
              </c:numCache>
            </c:numRef>
          </c:val>
          <c:extLst>
            <c:ext xmlns:c16="http://schemas.microsoft.com/office/drawing/2014/chart" uri="{C3380CC4-5D6E-409C-BE32-E72D297353CC}">
              <c16:uniqueId val="{00000004-8B5F-4F78-929C-EE07492800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2,3!user rating , genre</c:name>
    <c:fmtId val="0"/>
  </c:pivotSource>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100" b="1">
                <a:solidFill>
                  <a:schemeClr val="tx1"/>
                </a:solidFill>
                <a:latin typeface="Arial" panose="020B0604020202020204" pitchFamily="34" charset="0"/>
                <a:cs typeface="Arial" panose="020B0604020202020204" pitchFamily="34" charset="0"/>
              </a:rPr>
              <a:t>Average</a:t>
            </a:r>
            <a:r>
              <a:rPr lang="en-US" sz="1100" b="1" baseline="0">
                <a:solidFill>
                  <a:schemeClr val="tx1"/>
                </a:solidFill>
                <a:latin typeface="Arial" panose="020B0604020202020204" pitchFamily="34" charset="0"/>
                <a:cs typeface="Arial" panose="020B0604020202020204" pitchFamily="34" charset="0"/>
              </a:rPr>
              <a:t> User Rating Per Genre</a:t>
            </a:r>
            <a:endParaRPr lang="en-US" sz="11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'Relation 2,3'!$C$11</c:f>
              <c:strCache>
                <c:ptCount val="1"/>
                <c:pt idx="0">
                  <c:v>Total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'Relation 2,3'!$B$12:$B$14</c:f>
              <c:strCache>
                <c:ptCount val="2"/>
                <c:pt idx="0">
                  <c:v>Fiction</c:v>
                </c:pt>
                <c:pt idx="1">
                  <c:v>Non Fiction</c:v>
                </c:pt>
              </c:strCache>
            </c:strRef>
          </c:cat>
          <c:val>
            <c:numRef>
              <c:f>'Relation 2,3'!$C$12:$C$14</c:f>
              <c:numCache>
                <c:formatCode>0.00</c:formatCode>
                <c:ptCount val="2"/>
                <c:pt idx="0">
                  <c:v>4.6481171548117084</c:v>
                </c:pt>
                <c:pt idx="1">
                  <c:v>4.5944983818770213</c:v>
                </c:pt>
              </c:numCache>
            </c:numRef>
          </c:val>
          <c:extLst>
            <c:ext xmlns:c16="http://schemas.microsoft.com/office/drawing/2014/chart" uri="{C3380CC4-5D6E-409C-BE32-E72D297353CC}">
              <c16:uniqueId val="{00000000-60E0-4497-BE57-E5F2347C3AB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4!sum and average reviews,price by genre per year</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Total Reviews , Average price Per Genre</a:t>
            </a:r>
          </a:p>
        </c:rich>
      </c:tx>
      <c:layout>
        <c:manualLayout>
          <c:xMode val="edge"/>
          <c:yMode val="edge"/>
          <c:x val="0.31464566929133858"/>
          <c:y val="2.42248062015503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'Relation 4'!$B$6:$B$8</c:f>
              <c:strCache>
                <c:ptCount val="1"/>
                <c:pt idx="0">
                  <c:v>Fiction - Sum of Reviews</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4'!$A$9:$A$20</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4'!$B$9:$B$20</c:f>
              <c:numCache>
                <c:formatCode>[&gt;=1000000]#,,\ "M";[&gt;=1000]#,\ "K";#</c:formatCode>
                <c:ptCount val="11"/>
                <c:pt idx="0">
                  <c:v>156824</c:v>
                </c:pt>
                <c:pt idx="1">
                  <c:v>168185</c:v>
                </c:pt>
                <c:pt idx="2">
                  <c:v>217041</c:v>
                </c:pt>
                <c:pt idx="3">
                  <c:v>417821</c:v>
                </c:pt>
                <c:pt idx="4">
                  <c:v>479684</c:v>
                </c:pt>
                <c:pt idx="5">
                  <c:v>511621</c:v>
                </c:pt>
                <c:pt idx="6">
                  <c:v>403004</c:v>
                </c:pt>
                <c:pt idx="7">
                  <c:v>371702</c:v>
                </c:pt>
                <c:pt idx="8">
                  <c:v>350684</c:v>
                </c:pt>
                <c:pt idx="9">
                  <c:v>266919</c:v>
                </c:pt>
                <c:pt idx="10">
                  <c:v>370143</c:v>
                </c:pt>
              </c:numCache>
            </c:numRef>
          </c:val>
          <c:extLst>
            <c:ext xmlns:c16="http://schemas.microsoft.com/office/drawing/2014/chart" uri="{C3380CC4-5D6E-409C-BE32-E72D297353CC}">
              <c16:uniqueId val="{00000000-6DF9-487E-89D8-0E2C966EA8C7}"/>
            </c:ext>
          </c:extLst>
        </c:ser>
        <c:ser>
          <c:idx val="1"/>
          <c:order val="1"/>
          <c:tx>
            <c:strRef>
              <c:f>'Relation 4'!$C$6:$C$8</c:f>
              <c:strCache>
                <c:ptCount val="1"/>
                <c:pt idx="0">
                  <c:v>Fiction - Average of Price</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4'!$A$9:$A$20</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4'!$C$9:$C$20</c:f>
              <c:numCache>
                <c:formatCode>"$"#,##0.00</c:formatCode>
                <c:ptCount val="11"/>
                <c:pt idx="0">
                  <c:v>15.583333333333334</c:v>
                </c:pt>
                <c:pt idx="1">
                  <c:v>10.199999999999999</c:v>
                </c:pt>
                <c:pt idx="2">
                  <c:v>12.142857142857142</c:v>
                </c:pt>
                <c:pt idx="3">
                  <c:v>12.285714285714286</c:v>
                </c:pt>
                <c:pt idx="4">
                  <c:v>11.416666666666666</c:v>
                </c:pt>
                <c:pt idx="5">
                  <c:v>11.214285714285714</c:v>
                </c:pt>
                <c:pt idx="6">
                  <c:v>9.764705882352942</c:v>
                </c:pt>
                <c:pt idx="7">
                  <c:v>13</c:v>
                </c:pt>
                <c:pt idx="8">
                  <c:v>9.375</c:v>
                </c:pt>
                <c:pt idx="9">
                  <c:v>8.7619047619047628</c:v>
                </c:pt>
                <c:pt idx="10">
                  <c:v>9.35</c:v>
                </c:pt>
              </c:numCache>
            </c:numRef>
          </c:val>
          <c:extLst>
            <c:ext xmlns:c16="http://schemas.microsoft.com/office/drawing/2014/chart" uri="{C3380CC4-5D6E-409C-BE32-E72D297353CC}">
              <c16:uniqueId val="{00000001-6DF9-487E-89D8-0E2C966EA8C7}"/>
            </c:ext>
          </c:extLst>
        </c:ser>
        <c:ser>
          <c:idx val="2"/>
          <c:order val="2"/>
          <c:tx>
            <c:strRef>
              <c:f>'Relation 4'!$D$6:$D$8</c:f>
              <c:strCache>
                <c:ptCount val="1"/>
                <c:pt idx="0">
                  <c:v>Non Fiction - Sum of Reviews</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4'!$A$9:$A$20</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4'!$D$9:$D$20</c:f>
              <c:numCache>
                <c:formatCode>[&gt;=1000000]#,,\ "M";[&gt;=1000]#,\ "K";#</c:formatCode>
                <c:ptCount val="11"/>
                <c:pt idx="0">
                  <c:v>78682</c:v>
                </c:pt>
                <c:pt idx="1">
                  <c:v>105796</c:v>
                </c:pt>
                <c:pt idx="2">
                  <c:v>188000</c:v>
                </c:pt>
                <c:pt idx="3">
                  <c:v>236725</c:v>
                </c:pt>
                <c:pt idx="4">
                  <c:v>175223</c:v>
                </c:pt>
                <c:pt idx="5">
                  <c:v>201221</c:v>
                </c:pt>
                <c:pt idx="6">
                  <c:v>308665</c:v>
                </c:pt>
                <c:pt idx="7">
                  <c:v>338098</c:v>
                </c:pt>
                <c:pt idx="8">
                  <c:v>293736</c:v>
                </c:pt>
                <c:pt idx="9">
                  <c:v>429602</c:v>
                </c:pt>
                <c:pt idx="10">
                  <c:v>424774</c:v>
                </c:pt>
              </c:numCache>
            </c:numRef>
          </c:val>
          <c:extLst>
            <c:ext xmlns:c16="http://schemas.microsoft.com/office/drawing/2014/chart" uri="{C3380CC4-5D6E-409C-BE32-E72D297353CC}">
              <c16:uniqueId val="{00000002-6DF9-487E-89D8-0E2C966EA8C7}"/>
            </c:ext>
          </c:extLst>
        </c:ser>
        <c:ser>
          <c:idx val="3"/>
          <c:order val="3"/>
          <c:tx>
            <c:strRef>
              <c:f>'Relation 4'!$E$6:$E$8</c:f>
              <c:strCache>
                <c:ptCount val="1"/>
                <c:pt idx="0">
                  <c:v>Non Fiction - Average of Price</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4'!$A$9:$A$20</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4'!$E$9:$E$20</c:f>
              <c:numCache>
                <c:formatCode>"$"#,##0.00</c:formatCode>
                <c:ptCount val="11"/>
                <c:pt idx="0">
                  <c:v>15.23076923076923</c:v>
                </c:pt>
                <c:pt idx="1">
                  <c:v>16</c:v>
                </c:pt>
                <c:pt idx="2">
                  <c:v>17.620689655172413</c:v>
                </c:pt>
                <c:pt idx="3">
                  <c:v>17.482758620689655</c:v>
                </c:pt>
                <c:pt idx="4">
                  <c:v>18.192307692307693</c:v>
                </c:pt>
                <c:pt idx="5">
                  <c:v>21.1</c:v>
                </c:pt>
                <c:pt idx="6">
                  <c:v>10.969696969696969</c:v>
                </c:pt>
                <c:pt idx="7">
                  <c:v>13.741935483870968</c:v>
                </c:pt>
                <c:pt idx="8">
                  <c:v>13.73076923076923</c:v>
                </c:pt>
                <c:pt idx="9">
                  <c:v>11.793103448275861</c:v>
                </c:pt>
                <c:pt idx="10">
                  <c:v>10.566666666666666</c:v>
                </c:pt>
              </c:numCache>
            </c:numRef>
          </c:val>
          <c:extLst>
            <c:ext xmlns:c16="http://schemas.microsoft.com/office/drawing/2014/chart" uri="{C3380CC4-5D6E-409C-BE32-E72D297353CC}">
              <c16:uniqueId val="{00000003-6DF9-487E-89D8-0E2C966EA8C7}"/>
            </c:ext>
          </c:extLst>
        </c:ser>
        <c:dLbls>
          <c:dLblPos val="outEnd"/>
          <c:showLegendKey val="0"/>
          <c:showVal val="1"/>
          <c:showCatName val="0"/>
          <c:showSerName val="0"/>
          <c:showPercent val="0"/>
          <c:showBubbleSize val="0"/>
        </c:dLbls>
        <c:gapWidth val="182"/>
        <c:axId val="212883344"/>
        <c:axId val="212896304"/>
      </c:barChart>
      <c:catAx>
        <c:axId val="21288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896304"/>
        <c:crosses val="autoZero"/>
        <c:auto val="1"/>
        <c:lblAlgn val="ctr"/>
        <c:lblOffset val="100"/>
        <c:noMultiLvlLbl val="0"/>
      </c:catAx>
      <c:valAx>
        <c:axId val="212896304"/>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quot;M&quot;;[&gt;=1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8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5,6!reviews per year</c:name>
    <c:fmtId val="22"/>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Total Reviews</a:t>
            </a:r>
            <a:r>
              <a:rPr lang="en-US" sz="1100" b="1" baseline="0">
                <a:solidFill>
                  <a:schemeClr val="tx1"/>
                </a:solidFill>
              </a:rPr>
              <a:t> Per Year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 5,6'!$C$6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5,6'!$B$7:$B$18</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5,6'!$C$7:$C$18</c:f>
              <c:numCache>
                <c:formatCode>[&gt;999999]#,##0.0,,"M";[&gt;999]#,##0,"K";#,##0</c:formatCode>
                <c:ptCount val="11"/>
                <c:pt idx="0">
                  <c:v>235506</c:v>
                </c:pt>
                <c:pt idx="1">
                  <c:v>273981</c:v>
                </c:pt>
                <c:pt idx="2">
                  <c:v>405041</c:v>
                </c:pt>
                <c:pt idx="3">
                  <c:v>654546</c:v>
                </c:pt>
                <c:pt idx="4">
                  <c:v>654907</c:v>
                </c:pt>
                <c:pt idx="5">
                  <c:v>712842</c:v>
                </c:pt>
                <c:pt idx="6">
                  <c:v>711669</c:v>
                </c:pt>
                <c:pt idx="7">
                  <c:v>709800</c:v>
                </c:pt>
                <c:pt idx="8">
                  <c:v>644420</c:v>
                </c:pt>
                <c:pt idx="9">
                  <c:v>696521</c:v>
                </c:pt>
                <c:pt idx="10">
                  <c:v>794917</c:v>
                </c:pt>
              </c:numCache>
            </c:numRef>
          </c:val>
          <c:smooth val="0"/>
          <c:extLst>
            <c:ext xmlns:c16="http://schemas.microsoft.com/office/drawing/2014/chart" uri="{C3380CC4-5D6E-409C-BE32-E72D297353CC}">
              <c16:uniqueId val="{00000000-92D5-45D2-B98D-C22DCFD3B9D3}"/>
            </c:ext>
          </c:extLst>
        </c:ser>
        <c:dLbls>
          <c:dLblPos val="t"/>
          <c:showLegendKey val="0"/>
          <c:showVal val="1"/>
          <c:showCatName val="0"/>
          <c:showSerName val="0"/>
          <c:showPercent val="0"/>
          <c:showBubbleSize val="0"/>
        </c:dLbls>
        <c:marker val="1"/>
        <c:smooth val="0"/>
        <c:axId val="1219039951"/>
        <c:axId val="1219052911"/>
      </c:lineChart>
      <c:catAx>
        <c:axId val="1219039951"/>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Year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9052911"/>
        <c:crosses val="autoZero"/>
        <c:auto val="1"/>
        <c:lblAlgn val="ctr"/>
        <c:lblOffset val="100"/>
        <c:noMultiLvlLbl val="0"/>
      </c:catAx>
      <c:valAx>
        <c:axId val="1219052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Reviews</a:t>
                </a:r>
              </a:p>
            </c:rich>
          </c:tx>
          <c:layout>
            <c:manualLayout>
              <c:xMode val="edge"/>
              <c:yMode val="edge"/>
              <c:x val="3.0555555555555555E-2"/>
              <c:y val="0.37715660542432194"/>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t;999999]#,##0.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903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5,6!Top 10</c:name>
    <c:fmtId val="1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Total Review</a:t>
            </a:r>
            <a:r>
              <a:rPr lang="en-US" sz="1100" b="1" baseline="0">
                <a:solidFill>
                  <a:schemeClr val="tx1"/>
                </a:solidFill>
              </a:rPr>
              <a:t> , Average User Rating By Author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 5,6'!$C$29</c:f>
              <c:strCache>
                <c:ptCount val="1"/>
                <c:pt idx="0">
                  <c:v>Sum of Reviews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5,6'!$B$30:$B$40</c:f>
              <c:strCache>
                <c:ptCount val="10"/>
                <c:pt idx="0">
                  <c:v>Suzanne Collins</c:v>
                </c:pt>
                <c:pt idx="1">
                  <c:v>E L James</c:v>
                </c:pt>
                <c:pt idx="2">
                  <c:v>Dr. Seuss</c:v>
                </c:pt>
                <c:pt idx="3">
                  <c:v>Gillian Flynn</c:v>
                </c:pt>
                <c:pt idx="4">
                  <c:v>John Green</c:v>
                </c:pt>
                <c:pt idx="5">
                  <c:v>Paula Hawkins</c:v>
                </c:pt>
                <c:pt idx="6">
                  <c:v>Harper Lee</c:v>
                </c:pt>
                <c:pt idx="7">
                  <c:v>Gary Chapman</c:v>
                </c:pt>
                <c:pt idx="8">
                  <c:v>Don Miguel Ruiz</c:v>
                </c:pt>
                <c:pt idx="9">
                  <c:v>Eric Carle</c:v>
                </c:pt>
              </c:strCache>
            </c:strRef>
          </c:cat>
          <c:val>
            <c:numRef>
              <c:f>'Relation 5,6'!$C$30:$C$40</c:f>
              <c:numCache>
                <c:formatCode>[&gt;999999]#,##0.0,,"M";[&gt;999]#,##0,"K";#,##0</c:formatCode>
                <c:ptCount val="10"/>
                <c:pt idx="0">
                  <c:v>278329</c:v>
                </c:pt>
                <c:pt idx="1">
                  <c:v>178011</c:v>
                </c:pt>
                <c:pt idx="2">
                  <c:v>176545</c:v>
                </c:pt>
                <c:pt idx="3">
                  <c:v>171813</c:v>
                </c:pt>
                <c:pt idx="4">
                  <c:v>159937</c:v>
                </c:pt>
                <c:pt idx="5">
                  <c:v>158892</c:v>
                </c:pt>
                <c:pt idx="6">
                  <c:v>146152</c:v>
                </c:pt>
                <c:pt idx="7">
                  <c:v>145958</c:v>
                </c:pt>
                <c:pt idx="8">
                  <c:v>139848</c:v>
                </c:pt>
                <c:pt idx="9">
                  <c:v>136822</c:v>
                </c:pt>
              </c:numCache>
            </c:numRef>
          </c:val>
          <c:extLst>
            <c:ext xmlns:c16="http://schemas.microsoft.com/office/drawing/2014/chart" uri="{C3380CC4-5D6E-409C-BE32-E72D297353CC}">
              <c16:uniqueId val="{00000000-76E1-4ADF-9891-FE66C9BBA2C2}"/>
            </c:ext>
          </c:extLst>
        </c:ser>
        <c:ser>
          <c:idx val="1"/>
          <c:order val="1"/>
          <c:tx>
            <c:strRef>
              <c:f>'Relation 5,6'!$D$29</c:f>
              <c:strCache>
                <c:ptCount val="1"/>
                <c:pt idx="0">
                  <c:v>Average of User Rating</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5,6'!$B$30:$B$40</c:f>
              <c:strCache>
                <c:ptCount val="10"/>
                <c:pt idx="0">
                  <c:v>Suzanne Collins</c:v>
                </c:pt>
                <c:pt idx="1">
                  <c:v>E L James</c:v>
                </c:pt>
                <c:pt idx="2">
                  <c:v>Dr. Seuss</c:v>
                </c:pt>
                <c:pt idx="3">
                  <c:v>Gillian Flynn</c:v>
                </c:pt>
                <c:pt idx="4">
                  <c:v>John Green</c:v>
                </c:pt>
                <c:pt idx="5">
                  <c:v>Paula Hawkins</c:v>
                </c:pt>
                <c:pt idx="6">
                  <c:v>Harper Lee</c:v>
                </c:pt>
                <c:pt idx="7">
                  <c:v>Gary Chapman</c:v>
                </c:pt>
                <c:pt idx="8">
                  <c:v>Don Miguel Ruiz</c:v>
                </c:pt>
                <c:pt idx="9">
                  <c:v>Eric Carle</c:v>
                </c:pt>
              </c:strCache>
            </c:strRef>
          </c:cat>
          <c:val>
            <c:numRef>
              <c:f>'Relation 5,6'!$D$30:$D$40</c:f>
              <c:numCache>
                <c:formatCode>0.0</c:formatCode>
                <c:ptCount val="10"/>
                <c:pt idx="0">
                  <c:v>4.663636363636364</c:v>
                </c:pt>
                <c:pt idx="1">
                  <c:v>4.2333333333333334</c:v>
                </c:pt>
                <c:pt idx="2">
                  <c:v>4.8777777777777773</c:v>
                </c:pt>
                <c:pt idx="3">
                  <c:v>4</c:v>
                </c:pt>
                <c:pt idx="4">
                  <c:v>4.6499999999999995</c:v>
                </c:pt>
                <c:pt idx="5">
                  <c:v>4.0999999999999996</c:v>
                </c:pt>
                <c:pt idx="6">
                  <c:v>4.6000000000000005</c:v>
                </c:pt>
                <c:pt idx="7">
                  <c:v>4.7363636363636354</c:v>
                </c:pt>
                <c:pt idx="8">
                  <c:v>4.7</c:v>
                </c:pt>
                <c:pt idx="9">
                  <c:v>4.8999999999999995</c:v>
                </c:pt>
              </c:numCache>
            </c:numRef>
          </c:val>
          <c:extLst>
            <c:ext xmlns:c16="http://schemas.microsoft.com/office/drawing/2014/chart" uri="{C3380CC4-5D6E-409C-BE32-E72D297353CC}">
              <c16:uniqueId val="{00000001-76E1-4ADF-9891-FE66C9BBA2C2}"/>
            </c:ext>
          </c:extLst>
        </c:ser>
        <c:dLbls>
          <c:dLblPos val="outEnd"/>
          <c:showLegendKey val="0"/>
          <c:showVal val="1"/>
          <c:showCatName val="0"/>
          <c:showSerName val="0"/>
          <c:showPercent val="0"/>
          <c:showBubbleSize val="0"/>
        </c:dLbls>
        <c:gapWidth val="219"/>
        <c:overlap val="-27"/>
        <c:axId val="927353968"/>
        <c:axId val="927356368"/>
      </c:barChart>
      <c:catAx>
        <c:axId val="92735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7356368"/>
        <c:crosses val="autoZero"/>
        <c:auto val="1"/>
        <c:lblAlgn val="ctr"/>
        <c:lblOffset val="100"/>
        <c:noMultiLvlLbl val="0"/>
      </c:catAx>
      <c:valAx>
        <c:axId val="927356368"/>
        <c:scaling>
          <c:orientation val="minMax"/>
        </c:scaling>
        <c:delete val="0"/>
        <c:axPos val="l"/>
        <c:majorGridlines>
          <c:spPr>
            <a:ln w="9525" cap="flat" cmpd="sng" algn="ctr">
              <a:solidFill>
                <a:schemeClr val="tx1">
                  <a:lumMod val="15000"/>
                  <a:lumOff val="85000"/>
                </a:schemeClr>
              </a:solidFill>
              <a:round/>
            </a:ln>
            <a:effectLst/>
          </c:spPr>
        </c:majorGridlines>
        <c:numFmt formatCode="[&gt;999999]#,##0.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7!Top 10 Book</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Total</a:t>
            </a:r>
            <a:r>
              <a:rPr lang="en-US" sz="1100" b="1" baseline="0">
                <a:solidFill>
                  <a:schemeClr val="tx1"/>
                </a:solidFill>
              </a:rPr>
              <a:t> Reviews , Average User Rating For Each Book (name,genre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'Relation 7'!$B$7</c:f>
              <c:strCache>
                <c:ptCount val="1"/>
                <c:pt idx="0">
                  <c:v>Sum of Reviews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'Relation 7'!$A$8:$A$28</c:f>
              <c:multiLvlStrCache>
                <c:ptCount val="10"/>
                <c:lvl>
                  <c:pt idx="0">
                    <c:v>Fiction</c:v>
                  </c:pt>
                  <c:pt idx="1">
                    <c:v>Fiction</c:v>
                  </c:pt>
                  <c:pt idx="2">
                    <c:v>Fiction</c:v>
                  </c:pt>
                  <c:pt idx="3">
                    <c:v>Fiction</c:v>
                  </c:pt>
                  <c:pt idx="4">
                    <c:v>Non Fiction</c:v>
                  </c:pt>
                  <c:pt idx="5">
                    <c:v>Non Fiction</c:v>
                  </c:pt>
                  <c:pt idx="6">
                    <c:v>Fiction</c:v>
                  </c:pt>
                  <c:pt idx="7">
                    <c:v>Fiction</c:v>
                  </c:pt>
                  <c:pt idx="8">
                    <c:v>Non Fiction</c:v>
                  </c:pt>
                  <c:pt idx="9">
                    <c:v>Non Fiction</c:v>
                  </c:pt>
                </c:lvl>
                <c:lvl>
                  <c:pt idx="0">
                    <c:v>Oh, the Places You'll Go!</c:v>
                  </c:pt>
                  <c:pt idx="1">
                    <c:v>Gone Girl</c:v>
                  </c:pt>
                  <c:pt idx="2">
                    <c:v>The Girl on the Train</c:v>
                  </c:pt>
                  <c:pt idx="3">
                    <c:v>The Fault in Our Stars</c:v>
                  </c:pt>
                  <c:pt idx="4">
                    <c:v>The 5 Love Languages: The Secret to Love That Lasts</c:v>
                  </c:pt>
                  <c:pt idx="5">
                    <c:v>The Four Agreements: A Practical Guide to Personal Freedom (A Toltec Wisdom Book)</c:v>
                  </c:pt>
                  <c:pt idx="6">
                    <c:v>The Very Hungry Caterpillar</c:v>
                  </c:pt>
                  <c:pt idx="7">
                    <c:v>To Kill a Mockingbird</c:v>
                  </c:pt>
                  <c:pt idx="8">
                    <c:v>How to Win Friends &amp; Influence People</c:v>
                  </c:pt>
                  <c:pt idx="9">
                    <c:v>Becoming</c:v>
                  </c:pt>
                </c:lvl>
              </c:multiLvlStrCache>
            </c:multiLvlStrRef>
          </c:cat>
          <c:val>
            <c:numRef>
              <c:f>'Relation 7'!$B$8:$B$28</c:f>
              <c:numCache>
                <c:formatCode>[&gt;999999]#,##0.0,,"M";[&gt;999]#,##0,"K";#,##0</c:formatCode>
                <c:ptCount val="10"/>
                <c:pt idx="0">
                  <c:v>174672</c:v>
                </c:pt>
                <c:pt idx="1">
                  <c:v>171813</c:v>
                </c:pt>
                <c:pt idx="2">
                  <c:v>158892</c:v>
                </c:pt>
                <c:pt idx="3">
                  <c:v>151446</c:v>
                </c:pt>
                <c:pt idx="4">
                  <c:v>145155</c:v>
                </c:pt>
                <c:pt idx="5">
                  <c:v>139848</c:v>
                </c:pt>
                <c:pt idx="6">
                  <c:v>136822</c:v>
                </c:pt>
                <c:pt idx="7">
                  <c:v>131170</c:v>
                </c:pt>
                <c:pt idx="8">
                  <c:v>125005</c:v>
                </c:pt>
                <c:pt idx="9">
                  <c:v>122266</c:v>
                </c:pt>
              </c:numCache>
            </c:numRef>
          </c:val>
          <c:extLst>
            <c:ext xmlns:c16="http://schemas.microsoft.com/office/drawing/2014/chart" uri="{C3380CC4-5D6E-409C-BE32-E72D297353CC}">
              <c16:uniqueId val="{00000000-9898-4538-86BE-3E5A868B6A38}"/>
            </c:ext>
          </c:extLst>
        </c:ser>
        <c:dLbls>
          <c:showLegendKey val="0"/>
          <c:showVal val="1"/>
          <c:showCatName val="0"/>
          <c:showSerName val="0"/>
          <c:showPercent val="0"/>
          <c:showBubbleSize val="0"/>
        </c:dLbls>
        <c:gapWidth val="219"/>
        <c:overlap val="100"/>
        <c:axId val="927359248"/>
        <c:axId val="927373648"/>
      </c:barChart>
      <c:lineChart>
        <c:grouping val="stacked"/>
        <c:varyColors val="0"/>
        <c:ser>
          <c:idx val="1"/>
          <c:order val="1"/>
          <c:tx>
            <c:strRef>
              <c:f>'Relation 7'!$C$7</c:f>
              <c:strCache>
                <c:ptCount val="1"/>
                <c:pt idx="0">
                  <c:v>Average of User Rating</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'Relation 7'!$A$8:$A$28</c:f>
              <c:multiLvlStrCache>
                <c:ptCount val="10"/>
                <c:lvl>
                  <c:pt idx="0">
                    <c:v>Fiction</c:v>
                  </c:pt>
                  <c:pt idx="1">
                    <c:v>Fiction</c:v>
                  </c:pt>
                  <c:pt idx="2">
                    <c:v>Fiction</c:v>
                  </c:pt>
                  <c:pt idx="3">
                    <c:v>Fiction</c:v>
                  </c:pt>
                  <c:pt idx="4">
                    <c:v>Non Fiction</c:v>
                  </c:pt>
                  <c:pt idx="5">
                    <c:v>Non Fiction</c:v>
                  </c:pt>
                  <c:pt idx="6">
                    <c:v>Fiction</c:v>
                  </c:pt>
                  <c:pt idx="7">
                    <c:v>Fiction</c:v>
                  </c:pt>
                  <c:pt idx="8">
                    <c:v>Non Fiction</c:v>
                  </c:pt>
                  <c:pt idx="9">
                    <c:v>Non Fiction</c:v>
                  </c:pt>
                </c:lvl>
                <c:lvl>
                  <c:pt idx="0">
                    <c:v>Oh, the Places You'll Go!</c:v>
                  </c:pt>
                  <c:pt idx="1">
                    <c:v>Gone Girl</c:v>
                  </c:pt>
                  <c:pt idx="2">
                    <c:v>The Girl on the Train</c:v>
                  </c:pt>
                  <c:pt idx="3">
                    <c:v>The Fault in Our Stars</c:v>
                  </c:pt>
                  <c:pt idx="4">
                    <c:v>The 5 Love Languages: The Secret to Love That Lasts</c:v>
                  </c:pt>
                  <c:pt idx="5">
                    <c:v>The Four Agreements: A Practical Guide to Personal Freedom (A Toltec Wisdom Book)</c:v>
                  </c:pt>
                  <c:pt idx="6">
                    <c:v>The Very Hungry Caterpillar</c:v>
                  </c:pt>
                  <c:pt idx="7">
                    <c:v>To Kill a Mockingbird</c:v>
                  </c:pt>
                  <c:pt idx="8">
                    <c:v>How to Win Friends &amp; Influence People</c:v>
                  </c:pt>
                  <c:pt idx="9">
                    <c:v>Becoming</c:v>
                  </c:pt>
                </c:lvl>
              </c:multiLvlStrCache>
            </c:multiLvlStrRef>
          </c:cat>
          <c:val>
            <c:numRef>
              <c:f>'Relation 7'!$C$8:$C$28</c:f>
              <c:numCache>
                <c:formatCode>General</c:formatCode>
                <c:ptCount val="10"/>
                <c:pt idx="0">
                  <c:v>4.8999999999999995</c:v>
                </c:pt>
                <c:pt idx="1">
                  <c:v>4</c:v>
                </c:pt>
                <c:pt idx="2">
                  <c:v>4.0999999999999996</c:v>
                </c:pt>
                <c:pt idx="3">
                  <c:v>4.7</c:v>
                </c:pt>
                <c:pt idx="4">
                  <c:v>4.7499999999999991</c:v>
                </c:pt>
                <c:pt idx="5">
                  <c:v>4.7</c:v>
                </c:pt>
                <c:pt idx="6">
                  <c:v>4.8999999999999995</c:v>
                </c:pt>
                <c:pt idx="7">
                  <c:v>4.8</c:v>
                </c:pt>
                <c:pt idx="8">
                  <c:v>4.7</c:v>
                </c:pt>
                <c:pt idx="9">
                  <c:v>4.8</c:v>
                </c:pt>
              </c:numCache>
            </c:numRef>
          </c:val>
          <c:smooth val="0"/>
          <c:extLst>
            <c:ext xmlns:c16="http://schemas.microsoft.com/office/drawing/2014/chart" uri="{C3380CC4-5D6E-409C-BE32-E72D297353CC}">
              <c16:uniqueId val="{00000001-9898-4538-86BE-3E5A868B6A38}"/>
            </c:ext>
          </c:extLst>
        </c:ser>
        <c:dLbls>
          <c:showLegendKey val="0"/>
          <c:showVal val="1"/>
          <c:showCatName val="0"/>
          <c:showSerName val="0"/>
          <c:showPercent val="0"/>
          <c:showBubbleSize val="0"/>
        </c:dLbls>
        <c:marker val="1"/>
        <c:smooth val="0"/>
        <c:axId val="927370288"/>
        <c:axId val="927366928"/>
      </c:lineChart>
      <c:catAx>
        <c:axId val="9273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7373648"/>
        <c:crosses val="autoZero"/>
        <c:auto val="1"/>
        <c:lblAlgn val="ctr"/>
        <c:lblOffset val="100"/>
        <c:noMultiLvlLbl val="0"/>
      </c:catAx>
      <c:valAx>
        <c:axId val="92737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7359248"/>
        <c:crosses val="autoZero"/>
        <c:crossBetween val="between"/>
      </c:valAx>
      <c:valAx>
        <c:axId val="927366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0288"/>
        <c:crosses val="max"/>
        <c:crossBetween val="between"/>
      </c:valAx>
      <c:catAx>
        <c:axId val="927370288"/>
        <c:scaling>
          <c:orientation val="minMax"/>
        </c:scaling>
        <c:delete val="1"/>
        <c:axPos val="b"/>
        <c:numFmt formatCode="General" sourceLinked="1"/>
        <c:majorTickMark val="out"/>
        <c:minorTickMark val="none"/>
        <c:tickLblPos val="nextTo"/>
        <c:crossAx val="92736692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1!Average( User Rating, price) per year</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tint val="77000"/>
            </a:schemeClr>
          </a:solidFill>
          <a:ln>
            <a:noFill/>
          </a:ln>
          <a:effectLst/>
        </c:spPr>
      </c:pivotFmt>
      <c:pivotFmt>
        <c:idx val="7"/>
        <c:spPr>
          <a:solidFill>
            <a:schemeClr val="accent1">
              <a:tint val="77000"/>
            </a:schemeClr>
          </a:solidFill>
          <a:ln>
            <a:noFill/>
          </a:ln>
          <a:effectLst/>
        </c:spPr>
      </c:pivotFmt>
      <c:pivotFmt>
        <c:idx val="8"/>
        <c:spPr>
          <a:solidFill>
            <a:schemeClr val="accent1"/>
          </a:solidFill>
          <a:ln>
            <a:noFill/>
          </a:ln>
          <a:effectLst/>
        </c:spPr>
        <c:dLbl>
          <c:idx val="0"/>
          <c:layout>
            <c:manualLayout>
              <c:x val="-6.0702030937005149E-3"/>
              <c:y val="-4.6475974553232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0351015468502575E-3"/>
              <c:y val="-4.6475974553232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0351015468502575E-3"/>
              <c:y val="4.5105852727767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69551861282005E-2"/>
          <c:y val="5.0370005004550245E-2"/>
          <c:w val="0.56084733343625592"/>
          <c:h val="0.79944300942211144"/>
        </c:manualLayout>
      </c:layout>
      <c:barChart>
        <c:barDir val="col"/>
        <c:grouping val="clustered"/>
        <c:varyColors val="0"/>
        <c:ser>
          <c:idx val="0"/>
          <c:order val="0"/>
          <c:tx>
            <c:strRef>
              <c:f>'Relation 1'!$C$6</c:f>
              <c:strCache>
                <c:ptCount val="1"/>
                <c:pt idx="0">
                  <c:v>Average of User Rating</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1'!$B$7:$B$18</c:f>
              <c:strCache>
                <c:ptCount val="11"/>
                <c:pt idx="0">
                  <c:v>2011</c:v>
                </c:pt>
                <c:pt idx="1">
                  <c:v>2012</c:v>
                </c:pt>
                <c:pt idx="2">
                  <c:v>2013</c:v>
                </c:pt>
                <c:pt idx="3">
                  <c:v>2014</c:v>
                </c:pt>
                <c:pt idx="4">
                  <c:v>2019</c:v>
                </c:pt>
                <c:pt idx="5">
                  <c:v>2010</c:v>
                </c:pt>
                <c:pt idx="6">
                  <c:v>2009</c:v>
                </c:pt>
                <c:pt idx="7">
                  <c:v>2015</c:v>
                </c:pt>
                <c:pt idx="8">
                  <c:v>2016</c:v>
                </c:pt>
                <c:pt idx="9">
                  <c:v>2017</c:v>
                </c:pt>
                <c:pt idx="10">
                  <c:v>2018</c:v>
                </c:pt>
              </c:strCache>
            </c:strRef>
          </c:cat>
          <c:val>
            <c:numRef>
              <c:f>'Relation 1'!$C$7:$C$18</c:f>
              <c:numCache>
                <c:formatCode>0.0</c:formatCode>
                <c:ptCount val="11"/>
                <c:pt idx="0">
                  <c:v>4.5580000000000007</c:v>
                </c:pt>
                <c:pt idx="1">
                  <c:v>4.532</c:v>
                </c:pt>
                <c:pt idx="2">
                  <c:v>4.5540000000000003</c:v>
                </c:pt>
                <c:pt idx="3">
                  <c:v>4.616666666666668</c:v>
                </c:pt>
                <c:pt idx="4">
                  <c:v>4.740000000000002</c:v>
                </c:pt>
                <c:pt idx="5">
                  <c:v>4.5579999999999998</c:v>
                </c:pt>
                <c:pt idx="6">
                  <c:v>4.5839999999999996</c:v>
                </c:pt>
                <c:pt idx="7">
                  <c:v>4.6479999999999997</c:v>
                </c:pt>
                <c:pt idx="8">
                  <c:v>4.6780000000000008</c:v>
                </c:pt>
                <c:pt idx="9">
                  <c:v>4.66</c:v>
                </c:pt>
                <c:pt idx="10">
                  <c:v>4.6680000000000028</c:v>
                </c:pt>
              </c:numCache>
            </c:numRef>
          </c:val>
          <c:extLst>
            <c:ext xmlns:c16="http://schemas.microsoft.com/office/drawing/2014/chart" uri="{C3380CC4-5D6E-409C-BE32-E72D297353CC}">
              <c16:uniqueId val="{00000000-5EFC-4FF6-AEBA-C0CBAC705643}"/>
            </c:ext>
          </c:extLst>
        </c:ser>
        <c:ser>
          <c:idx val="1"/>
          <c:order val="1"/>
          <c:tx>
            <c:strRef>
              <c:f>'Relation 1'!$D$6</c:f>
              <c:strCache>
                <c:ptCount val="1"/>
                <c:pt idx="0">
                  <c:v>Average of Price</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0-D884-40D1-858B-473F617D574C}"/>
              </c:ext>
            </c:extLst>
          </c:dPt>
          <c:dPt>
            <c:idx val="2"/>
            <c:invertIfNegative val="0"/>
            <c:bubble3D val="0"/>
            <c:extLst>
              <c:ext xmlns:c16="http://schemas.microsoft.com/office/drawing/2014/chart" uri="{C3380CC4-5D6E-409C-BE32-E72D297353CC}">
                <c16:uniqueId val="{00000004-5EFC-4FF6-AEBA-C0CBAC705643}"/>
              </c:ext>
            </c:extLst>
          </c:dPt>
          <c:dPt>
            <c:idx val="4"/>
            <c:invertIfNegative val="0"/>
            <c:bubble3D val="0"/>
            <c:extLst>
              <c:ext xmlns:c16="http://schemas.microsoft.com/office/drawing/2014/chart" uri="{C3380CC4-5D6E-409C-BE32-E72D297353CC}">
                <c16:uniqueId val="{00000005-5EFC-4FF6-AEBA-C0CBAC705643}"/>
              </c:ext>
            </c:extLst>
          </c:dPt>
          <c:dLbls>
            <c:dLbl>
              <c:idx val="0"/>
              <c:layout>
                <c:manualLayout>
                  <c:x val="-6.0702030937005149E-3"/>
                  <c:y val="-4.647597455323232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84-40D1-858B-473F617D574C}"/>
                </c:ext>
              </c:extLst>
            </c:dLbl>
            <c:dLbl>
              <c:idx val="2"/>
              <c:layout>
                <c:manualLayout>
                  <c:x val="-3.0351015468502575E-3"/>
                  <c:y val="-4.64759745532321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FC-4FF6-AEBA-C0CBAC705643}"/>
                </c:ext>
              </c:extLst>
            </c:dLbl>
            <c:dLbl>
              <c:idx val="4"/>
              <c:layout>
                <c:manualLayout>
                  <c:x val="3.0351015468502575E-3"/>
                  <c:y val="4.51058527277679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FC-4FF6-AEBA-C0CBAC7056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1'!$B$7:$B$18</c:f>
              <c:strCache>
                <c:ptCount val="11"/>
                <c:pt idx="0">
                  <c:v>2011</c:v>
                </c:pt>
                <c:pt idx="1">
                  <c:v>2012</c:v>
                </c:pt>
                <c:pt idx="2">
                  <c:v>2013</c:v>
                </c:pt>
                <c:pt idx="3">
                  <c:v>2014</c:v>
                </c:pt>
                <c:pt idx="4">
                  <c:v>2019</c:v>
                </c:pt>
                <c:pt idx="5">
                  <c:v>2010</c:v>
                </c:pt>
                <c:pt idx="6">
                  <c:v>2009</c:v>
                </c:pt>
                <c:pt idx="7">
                  <c:v>2015</c:v>
                </c:pt>
                <c:pt idx="8">
                  <c:v>2016</c:v>
                </c:pt>
                <c:pt idx="9">
                  <c:v>2017</c:v>
                </c:pt>
                <c:pt idx="10">
                  <c:v>2018</c:v>
                </c:pt>
              </c:strCache>
            </c:strRef>
          </c:cat>
          <c:val>
            <c:numRef>
              <c:f>'Relation 1'!$D$7:$D$18</c:f>
              <c:numCache>
                <c:formatCode>"$"#,##0.00</c:formatCode>
                <c:ptCount val="11"/>
                <c:pt idx="0">
                  <c:v>15.32</c:v>
                </c:pt>
                <c:pt idx="1">
                  <c:v>15.3</c:v>
                </c:pt>
                <c:pt idx="2">
                  <c:v>14.94</c:v>
                </c:pt>
                <c:pt idx="3">
                  <c:v>15.333333333333334</c:v>
                </c:pt>
                <c:pt idx="4">
                  <c:v>10.08</c:v>
                </c:pt>
                <c:pt idx="5">
                  <c:v>13.68</c:v>
                </c:pt>
                <c:pt idx="6">
                  <c:v>15.4</c:v>
                </c:pt>
                <c:pt idx="7">
                  <c:v>10.56</c:v>
                </c:pt>
                <c:pt idx="8">
                  <c:v>13.46</c:v>
                </c:pt>
                <c:pt idx="9">
                  <c:v>11.64</c:v>
                </c:pt>
                <c:pt idx="10">
                  <c:v>10.52</c:v>
                </c:pt>
              </c:numCache>
            </c:numRef>
          </c:val>
          <c:extLst>
            <c:ext xmlns:c16="http://schemas.microsoft.com/office/drawing/2014/chart" uri="{C3380CC4-5D6E-409C-BE32-E72D297353CC}">
              <c16:uniqueId val="{00000001-5EFC-4FF6-AEBA-C0CBAC705643}"/>
            </c:ext>
          </c:extLst>
        </c:ser>
        <c:dLbls>
          <c:dLblPos val="outEnd"/>
          <c:showLegendKey val="0"/>
          <c:showVal val="1"/>
          <c:showCatName val="0"/>
          <c:showSerName val="0"/>
          <c:showPercent val="0"/>
          <c:showBubbleSize val="0"/>
        </c:dLbls>
        <c:gapWidth val="219"/>
        <c:overlap val="-27"/>
        <c:axId val="1219026031"/>
        <c:axId val="1219026511"/>
      </c:barChart>
      <c:catAx>
        <c:axId val="12190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26511"/>
        <c:crosses val="autoZero"/>
        <c:auto val="1"/>
        <c:lblAlgn val="ctr"/>
        <c:lblOffset val="100"/>
        <c:noMultiLvlLbl val="0"/>
      </c:catAx>
      <c:valAx>
        <c:axId val="1219026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2,3!sum reviews by genre</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100" b="1">
                <a:solidFill>
                  <a:schemeClr val="tx1"/>
                </a:solidFill>
              </a:rPr>
              <a:t>Total Reviews</a:t>
            </a:r>
            <a:r>
              <a:rPr lang="en-US" sz="1100" b="1" baseline="0">
                <a:solidFill>
                  <a:schemeClr val="tx1"/>
                </a:solidFill>
              </a:rPr>
              <a:t> Per Genre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'Relation 2,3'!$M$11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BE94-4C6A-9547-9E4157A6FC5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E94-4C6A-9547-9E4157A6FC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'Relation 2,3'!$L$12:$L$14</c:f>
              <c:strCache>
                <c:ptCount val="2"/>
                <c:pt idx="0">
                  <c:v>Fiction</c:v>
                </c:pt>
                <c:pt idx="1">
                  <c:v>Non Fiction</c:v>
                </c:pt>
              </c:strCache>
            </c:strRef>
          </c:cat>
          <c:val>
            <c:numRef>
              <c:f>'Relation 2,3'!$M$12:$M$14</c:f>
              <c:numCache>
                <c:formatCode>[&gt;999999]#,##0.0,,"M";[&gt;999]#,##0,"K";#,##0</c:formatCode>
                <c:ptCount val="2"/>
                <c:pt idx="0">
                  <c:v>3713628</c:v>
                </c:pt>
                <c:pt idx="1">
                  <c:v>2780522</c:v>
                </c:pt>
              </c:numCache>
            </c:numRef>
          </c:val>
          <c:extLst>
            <c:ext xmlns:c16="http://schemas.microsoft.com/office/drawing/2014/chart" uri="{C3380CC4-5D6E-409C-BE32-E72D297353CC}">
              <c16:uniqueId val="{00000004-BE94-4C6A-9547-9E4157A6FC5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[bestsellers with categories.xlsx]Relation 5,6!reviews per year</c:name>
    <c:fmtId val="13"/>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Total Reviews</a:t>
            </a:r>
            <a:r>
              <a:rPr lang="en-US" sz="1100" b="1" baseline="0">
                <a:solidFill>
                  <a:schemeClr val="tx1"/>
                </a:solidFill>
              </a:rPr>
              <a:t> Per Year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 5,6'!$C$6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5,6'!$B$7:$B$18</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'Relation 5,6'!$C$7:$C$18</c:f>
              <c:numCache>
                <c:formatCode>[&gt;999999]#,##0.0,,"M";[&gt;999]#,##0,"K";#,##0</c:formatCode>
                <c:ptCount val="11"/>
                <c:pt idx="0">
                  <c:v>235506</c:v>
                </c:pt>
                <c:pt idx="1">
                  <c:v>273981</c:v>
                </c:pt>
                <c:pt idx="2">
                  <c:v>405041</c:v>
                </c:pt>
                <c:pt idx="3">
                  <c:v>654546</c:v>
                </c:pt>
                <c:pt idx="4">
                  <c:v>654907</c:v>
                </c:pt>
                <c:pt idx="5">
                  <c:v>712842</c:v>
                </c:pt>
                <c:pt idx="6">
                  <c:v>711669</c:v>
                </c:pt>
                <c:pt idx="7">
                  <c:v>709800</c:v>
                </c:pt>
                <c:pt idx="8">
                  <c:v>644420</c:v>
                </c:pt>
                <c:pt idx="9">
                  <c:v>696521</c:v>
                </c:pt>
                <c:pt idx="10">
                  <c:v>794917</c:v>
                </c:pt>
              </c:numCache>
            </c:numRef>
          </c:val>
          <c:smooth val="0"/>
          <c:extLst>
            <c:ext xmlns:c16="http://schemas.microsoft.com/office/drawing/2014/chart" uri="{C3380CC4-5D6E-409C-BE32-E72D297353CC}">
              <c16:uniqueId val="{00000000-BF95-45CC-9E09-01A0F4C0CB17}"/>
            </c:ext>
          </c:extLst>
        </c:ser>
        <c:dLbls>
          <c:dLblPos val="t"/>
          <c:showLegendKey val="0"/>
          <c:showVal val="1"/>
          <c:showCatName val="0"/>
          <c:showSerName val="0"/>
          <c:showPercent val="0"/>
          <c:showBubbleSize val="0"/>
        </c:dLbls>
        <c:marker val="1"/>
        <c:smooth val="0"/>
        <c:axId val="1219039951"/>
        <c:axId val="1219052911"/>
      </c:lineChart>
      <c:catAx>
        <c:axId val="1219039951"/>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Year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52911"/>
        <c:crosses val="autoZero"/>
        <c:auto val="1"/>
        <c:lblAlgn val="ctr"/>
        <c:lblOffset val="100"/>
        <c:noMultiLvlLbl val="0"/>
      </c:catAx>
      <c:valAx>
        <c:axId val="1219052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Reviews</a:t>
                </a:r>
              </a:p>
            </c:rich>
          </c:tx>
          <c:layout>
            <c:manualLayout>
              <c:xMode val="edge"/>
              <c:yMode val="edge"/>
              <c:x val="3.0555555555555555E-2"/>
              <c:y val="0.37715660542432194"/>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t;999999]#,##0.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03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 with categories.xlsx]Relation 5,6!Top 10</c:name>
    <c:fmtId val="5"/>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Total</a:t>
            </a:r>
            <a:r>
              <a:rPr lang="en-US" sz="1100" b="1" baseline="0">
                <a:solidFill>
                  <a:schemeClr val="tx1"/>
                </a:solidFill>
              </a:rPr>
              <a:t> Reviews And Average Of User Rating Per Author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'Relation 5,6'!$C$29</c:f>
              <c:strCache>
                <c:ptCount val="1"/>
                <c:pt idx="0">
                  <c:v>Sum of Reviews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5,6'!$B$30:$B$40</c:f>
              <c:strCache>
                <c:ptCount val="10"/>
                <c:pt idx="0">
                  <c:v>Suzanne Collins</c:v>
                </c:pt>
                <c:pt idx="1">
                  <c:v>E L James</c:v>
                </c:pt>
                <c:pt idx="2">
                  <c:v>Dr. Seuss</c:v>
                </c:pt>
                <c:pt idx="3">
                  <c:v>Gillian Flynn</c:v>
                </c:pt>
                <c:pt idx="4">
                  <c:v>John Green</c:v>
                </c:pt>
                <c:pt idx="5">
                  <c:v>Paula Hawkins</c:v>
                </c:pt>
                <c:pt idx="6">
                  <c:v>Harper Lee</c:v>
                </c:pt>
                <c:pt idx="7">
                  <c:v>Gary Chapman</c:v>
                </c:pt>
                <c:pt idx="8">
                  <c:v>Don Miguel Ruiz</c:v>
                </c:pt>
                <c:pt idx="9">
                  <c:v>Eric Carle</c:v>
                </c:pt>
              </c:strCache>
            </c:strRef>
          </c:cat>
          <c:val>
            <c:numRef>
              <c:f>'Relation 5,6'!$C$30:$C$40</c:f>
              <c:numCache>
                <c:formatCode>[&gt;999999]#,##0.0,,"M";[&gt;999]#,##0,"K";#,##0</c:formatCode>
                <c:ptCount val="10"/>
                <c:pt idx="0">
                  <c:v>278329</c:v>
                </c:pt>
                <c:pt idx="1">
                  <c:v>178011</c:v>
                </c:pt>
                <c:pt idx="2">
                  <c:v>176545</c:v>
                </c:pt>
                <c:pt idx="3">
                  <c:v>171813</c:v>
                </c:pt>
                <c:pt idx="4">
                  <c:v>159937</c:v>
                </c:pt>
                <c:pt idx="5">
                  <c:v>158892</c:v>
                </c:pt>
                <c:pt idx="6">
                  <c:v>146152</c:v>
                </c:pt>
                <c:pt idx="7">
                  <c:v>145958</c:v>
                </c:pt>
                <c:pt idx="8">
                  <c:v>139848</c:v>
                </c:pt>
                <c:pt idx="9">
                  <c:v>136822</c:v>
                </c:pt>
              </c:numCache>
            </c:numRef>
          </c:val>
          <c:extLst>
            <c:ext xmlns:c16="http://schemas.microsoft.com/office/drawing/2014/chart" uri="{C3380CC4-5D6E-409C-BE32-E72D297353CC}">
              <c16:uniqueId val="{00000000-70DE-470F-9E09-103F7709C978}"/>
            </c:ext>
          </c:extLst>
        </c:ser>
        <c:ser>
          <c:idx val="1"/>
          <c:order val="1"/>
          <c:tx>
            <c:strRef>
              <c:f>'Relation 5,6'!$D$29</c:f>
              <c:strCache>
                <c:ptCount val="1"/>
                <c:pt idx="0">
                  <c:v>Average of User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 5,6'!$B$30:$B$40</c:f>
              <c:strCache>
                <c:ptCount val="10"/>
                <c:pt idx="0">
                  <c:v>Suzanne Collins</c:v>
                </c:pt>
                <c:pt idx="1">
                  <c:v>E L James</c:v>
                </c:pt>
                <c:pt idx="2">
                  <c:v>Dr. Seuss</c:v>
                </c:pt>
                <c:pt idx="3">
                  <c:v>Gillian Flynn</c:v>
                </c:pt>
                <c:pt idx="4">
                  <c:v>John Green</c:v>
                </c:pt>
                <c:pt idx="5">
                  <c:v>Paula Hawkins</c:v>
                </c:pt>
                <c:pt idx="6">
                  <c:v>Harper Lee</c:v>
                </c:pt>
                <c:pt idx="7">
                  <c:v>Gary Chapman</c:v>
                </c:pt>
                <c:pt idx="8">
                  <c:v>Don Miguel Ruiz</c:v>
                </c:pt>
                <c:pt idx="9">
                  <c:v>Eric Carle</c:v>
                </c:pt>
              </c:strCache>
            </c:strRef>
          </c:cat>
          <c:val>
            <c:numRef>
              <c:f>'Relation 5,6'!$D$30:$D$40</c:f>
              <c:numCache>
                <c:formatCode>0.0</c:formatCode>
                <c:ptCount val="10"/>
                <c:pt idx="0">
                  <c:v>4.663636363636364</c:v>
                </c:pt>
                <c:pt idx="1">
                  <c:v>4.2333333333333334</c:v>
                </c:pt>
                <c:pt idx="2">
                  <c:v>4.8777777777777773</c:v>
                </c:pt>
                <c:pt idx="3">
                  <c:v>4</c:v>
                </c:pt>
                <c:pt idx="4">
                  <c:v>4.6499999999999995</c:v>
                </c:pt>
                <c:pt idx="5">
                  <c:v>4.0999999999999996</c:v>
                </c:pt>
                <c:pt idx="6">
                  <c:v>4.6000000000000005</c:v>
                </c:pt>
                <c:pt idx="7">
                  <c:v>4.7363636363636354</c:v>
                </c:pt>
                <c:pt idx="8">
                  <c:v>4.7</c:v>
                </c:pt>
                <c:pt idx="9">
                  <c:v>4.8999999999999995</c:v>
                </c:pt>
              </c:numCache>
            </c:numRef>
          </c:val>
          <c:extLst>
            <c:ext xmlns:c16="http://schemas.microsoft.com/office/drawing/2014/chart" uri="{C3380CC4-5D6E-409C-BE32-E72D297353CC}">
              <c16:uniqueId val="{00000001-70DE-470F-9E09-103F7709C978}"/>
            </c:ext>
          </c:extLst>
        </c:ser>
        <c:dLbls>
          <c:dLblPos val="outEnd"/>
          <c:showLegendKey val="0"/>
          <c:showVal val="1"/>
          <c:showCatName val="0"/>
          <c:showSerName val="0"/>
          <c:showPercent val="0"/>
          <c:showBubbleSize val="0"/>
        </c:dLbls>
        <c:gapWidth val="182"/>
        <c:axId val="502789103"/>
        <c:axId val="1446770415"/>
      </c:barChart>
      <c:catAx>
        <c:axId val="5027891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Author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6770415"/>
        <c:crosses val="autoZero"/>
        <c:auto val="1"/>
        <c:lblAlgn val="ctr"/>
        <c:lblOffset val="100"/>
        <c:noMultiLvlLbl val="0"/>
      </c:catAx>
      <c:valAx>
        <c:axId val="1446770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rPr>
                  <a:t>Total Reviews And Average Of User Rating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999999]#,##0.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278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2.sv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8.xml"/><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1851660</xdr:colOff>
      <xdr:row>2</xdr:row>
      <xdr:rowOff>0</xdr:rowOff>
    </xdr:from>
    <xdr:to>
      <xdr:col>1</xdr:col>
      <xdr:colOff>1851660</xdr:colOff>
      <xdr:row>5</xdr:row>
      <xdr:rowOff>53340</xdr:rowOff>
    </xdr:to>
    <xdr:cxnSp macro="">
      <xdr:nvCxnSpPr>
        <xdr:cNvPr id="3" name="Straight Arrow Connector 2">
          <a:extLst>
            <a:ext uri="{FF2B5EF4-FFF2-40B4-BE49-F238E27FC236}">
              <a16:creationId xmlns:a16="http://schemas.microsoft.com/office/drawing/2014/main" id="{4E99C6E6-B8EE-63C8-43EE-33FC1F3471BB}"/>
            </a:ext>
          </a:extLst>
        </xdr:cNvPr>
        <xdr:cNvCxnSpPr/>
      </xdr:nvCxnSpPr>
      <xdr:spPr>
        <a:xfrm>
          <a:off x="2133600" y="381000"/>
          <a:ext cx="0" cy="6096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1455420</xdr:colOff>
      <xdr:row>2</xdr:row>
      <xdr:rowOff>15240</xdr:rowOff>
    </xdr:from>
    <xdr:to>
      <xdr:col>9</xdr:col>
      <xdr:colOff>1485900</xdr:colOff>
      <xdr:row>10</xdr:row>
      <xdr:rowOff>137160</xdr:rowOff>
    </xdr:to>
    <xdr:cxnSp macro="">
      <xdr:nvCxnSpPr>
        <xdr:cNvPr id="4" name="Straight Arrow Connector 3">
          <a:extLst>
            <a:ext uri="{FF2B5EF4-FFF2-40B4-BE49-F238E27FC236}">
              <a16:creationId xmlns:a16="http://schemas.microsoft.com/office/drawing/2014/main" id="{97A09883-52DB-7B0B-86C3-A38EB7E07F24}"/>
            </a:ext>
          </a:extLst>
        </xdr:cNvPr>
        <xdr:cNvCxnSpPr/>
      </xdr:nvCxnSpPr>
      <xdr:spPr>
        <a:xfrm>
          <a:off x="8328660" y="396240"/>
          <a:ext cx="30480" cy="16078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1642654</xdr:colOff>
      <xdr:row>1</xdr:row>
      <xdr:rowOff>189411</xdr:rowOff>
    </xdr:from>
    <xdr:to>
      <xdr:col>19</xdr:col>
      <xdr:colOff>1697083</xdr:colOff>
      <xdr:row>14</xdr:row>
      <xdr:rowOff>75111</xdr:rowOff>
    </xdr:to>
    <xdr:cxnSp macro="">
      <xdr:nvCxnSpPr>
        <xdr:cNvPr id="6" name="Straight Arrow Connector 5">
          <a:extLst>
            <a:ext uri="{FF2B5EF4-FFF2-40B4-BE49-F238E27FC236}">
              <a16:creationId xmlns:a16="http://schemas.microsoft.com/office/drawing/2014/main" id="{1DCE4F31-534F-8C60-720B-A8A311A30EF1}"/>
            </a:ext>
          </a:extLst>
        </xdr:cNvPr>
        <xdr:cNvCxnSpPr/>
      </xdr:nvCxnSpPr>
      <xdr:spPr>
        <a:xfrm>
          <a:off x="16608334" y="379911"/>
          <a:ext cx="54429" cy="3055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632460</xdr:colOff>
      <xdr:row>1</xdr:row>
      <xdr:rowOff>60960</xdr:rowOff>
    </xdr:from>
    <xdr:to>
      <xdr:col>13</xdr:col>
      <xdr:colOff>137160</xdr:colOff>
      <xdr:row>3</xdr:row>
      <xdr:rowOff>80682</xdr:rowOff>
    </xdr:to>
    <xdr:sp macro="" textlink="">
      <xdr:nvSpPr>
        <xdr:cNvPr id="2" name="TextBox 1">
          <a:extLst>
            <a:ext uri="{FF2B5EF4-FFF2-40B4-BE49-F238E27FC236}">
              <a16:creationId xmlns:a16="http://schemas.microsoft.com/office/drawing/2014/main" id="{707FCA0A-2243-4BCA-B2EF-F0807AF9AAF5}"/>
            </a:ext>
          </a:extLst>
        </xdr:cNvPr>
        <xdr:cNvSpPr txBox="1"/>
      </xdr:nvSpPr>
      <xdr:spPr>
        <a:xfrm>
          <a:off x="632460" y="243840"/>
          <a:ext cx="9867900" cy="385482"/>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Average( User Rating, price) per year </a:t>
          </a:r>
        </a:p>
      </xdr:txBody>
    </xdr:sp>
    <xdr:clientData/>
  </xdr:twoCellAnchor>
  <xdr:twoCellAnchor>
    <xdr:from>
      <xdr:col>4</xdr:col>
      <xdr:colOff>114300</xdr:colOff>
      <xdr:row>5</xdr:row>
      <xdr:rowOff>7620</xdr:rowOff>
    </xdr:from>
    <xdr:to>
      <xdr:col>13</xdr:col>
      <xdr:colOff>114300</xdr:colOff>
      <xdr:row>17</xdr:row>
      <xdr:rowOff>175260</xdr:rowOff>
    </xdr:to>
    <xdr:graphicFrame macro="">
      <xdr:nvGraphicFramePr>
        <xdr:cNvPr id="3" name="Chart 2">
          <a:extLst>
            <a:ext uri="{FF2B5EF4-FFF2-40B4-BE49-F238E27FC236}">
              <a16:creationId xmlns:a16="http://schemas.microsoft.com/office/drawing/2014/main" id="{8C21D6A9-C9F3-435B-AC99-1D20BCE66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0.68963</cdr:x>
      <cdr:y>0.07196</cdr:y>
    </cdr:from>
    <cdr:to>
      <cdr:x>0.96991</cdr:x>
      <cdr:y>0.26055</cdr:y>
    </cdr:to>
    <cdr:sp macro="" textlink="">
      <cdr:nvSpPr>
        <cdr:cNvPr id="2" name="TextBox 1">
          <a:extLst xmlns:a="http://schemas.openxmlformats.org/drawingml/2006/main">
            <a:ext uri="{FF2B5EF4-FFF2-40B4-BE49-F238E27FC236}">
              <a16:creationId xmlns:a16="http://schemas.microsoft.com/office/drawing/2014/main" id="{A87B92E2-C72A-6F51-E508-71DE3246AFE2}"/>
            </a:ext>
          </a:extLst>
        </cdr:cNvPr>
        <cdr:cNvSpPr txBox="1"/>
      </cdr:nvSpPr>
      <cdr:spPr>
        <a:xfrm xmlns:a="http://schemas.openxmlformats.org/drawingml/2006/main">
          <a:off x="2885661" y="192158"/>
          <a:ext cx="1172817" cy="503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0.71021</cdr:x>
      <cdr:y>0.0794</cdr:y>
    </cdr:from>
    <cdr:to>
      <cdr:x>0.97783</cdr:x>
      <cdr:y>0.36973</cdr:y>
    </cdr:to>
    <cdr:sp macro="" textlink="">
      <cdr:nvSpPr>
        <cdr:cNvPr id="3" name="TextBox 2">
          <a:extLst xmlns:a="http://schemas.openxmlformats.org/drawingml/2006/main">
            <a:ext uri="{FF2B5EF4-FFF2-40B4-BE49-F238E27FC236}">
              <a16:creationId xmlns:a16="http://schemas.microsoft.com/office/drawing/2014/main" id="{5FCF411D-C574-D03B-9ECA-0DA8DA2B103A}"/>
            </a:ext>
          </a:extLst>
        </cdr:cNvPr>
        <cdr:cNvSpPr txBox="1"/>
      </cdr:nvSpPr>
      <cdr:spPr>
        <a:xfrm xmlns:a="http://schemas.openxmlformats.org/drawingml/2006/main">
          <a:off x="2971784" y="221703"/>
          <a:ext cx="1119822" cy="8106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t>Average( User Rating, price) per year</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297180</xdr:colOff>
      <xdr:row>4</xdr:row>
      <xdr:rowOff>121920</xdr:rowOff>
    </xdr:from>
    <xdr:to>
      <xdr:col>3</xdr:col>
      <xdr:colOff>304800</xdr:colOff>
      <xdr:row>8</xdr:row>
      <xdr:rowOff>25615</xdr:rowOff>
    </xdr:to>
    <xdr:sp macro="" textlink="">
      <xdr:nvSpPr>
        <xdr:cNvPr id="2" name="TextBox 1">
          <a:extLst>
            <a:ext uri="{FF2B5EF4-FFF2-40B4-BE49-F238E27FC236}">
              <a16:creationId xmlns:a16="http://schemas.microsoft.com/office/drawing/2014/main" id="{B601672B-1E2C-46D2-BEFE-14F63A1591AE}"/>
            </a:ext>
          </a:extLst>
        </xdr:cNvPr>
        <xdr:cNvSpPr txBox="1"/>
      </xdr:nvSpPr>
      <xdr:spPr>
        <a:xfrm>
          <a:off x="297180" y="853440"/>
          <a:ext cx="2910840" cy="635215"/>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average user rating per genre</a:t>
          </a:r>
        </a:p>
      </xdr:txBody>
    </xdr:sp>
    <xdr:clientData/>
  </xdr:twoCellAnchor>
  <xdr:twoCellAnchor editAs="absolute">
    <xdr:from>
      <xdr:col>10</xdr:col>
      <xdr:colOff>106680</xdr:colOff>
      <xdr:row>4</xdr:row>
      <xdr:rowOff>144780</xdr:rowOff>
    </xdr:from>
    <xdr:to>
      <xdr:col>14</xdr:col>
      <xdr:colOff>85613</xdr:colOff>
      <xdr:row>8</xdr:row>
      <xdr:rowOff>58271</xdr:rowOff>
    </xdr:to>
    <xdr:sp macro="" textlink="">
      <xdr:nvSpPr>
        <xdr:cNvPr id="3" name="TextBox 2">
          <a:extLst>
            <a:ext uri="{FF2B5EF4-FFF2-40B4-BE49-F238E27FC236}">
              <a16:creationId xmlns:a16="http://schemas.microsoft.com/office/drawing/2014/main" id="{B9A7CC16-D34A-40A7-9634-8BD8F90CA4E4}"/>
            </a:ext>
          </a:extLst>
        </xdr:cNvPr>
        <xdr:cNvSpPr txBox="1"/>
      </xdr:nvSpPr>
      <xdr:spPr>
        <a:xfrm>
          <a:off x="7277100" y="876300"/>
          <a:ext cx="3065033" cy="645011"/>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bg1"/>
              </a:solidFill>
              <a:latin typeface="+mn-lt"/>
              <a:ea typeface="+mn-ea"/>
              <a:cs typeface="+mn-cs"/>
            </a:rPr>
            <a:t>Sum of reviews per genre</a:t>
          </a:r>
        </a:p>
      </xdr:txBody>
    </xdr:sp>
    <xdr:clientData/>
  </xdr:twoCellAnchor>
  <xdr:twoCellAnchor>
    <xdr:from>
      <xdr:col>9</xdr:col>
      <xdr:colOff>411480</xdr:colOff>
      <xdr:row>15</xdr:row>
      <xdr:rowOff>137160</xdr:rowOff>
    </xdr:from>
    <xdr:to>
      <xdr:col>14</xdr:col>
      <xdr:colOff>365760</xdr:colOff>
      <xdr:row>28</xdr:row>
      <xdr:rowOff>137160</xdr:rowOff>
    </xdr:to>
    <xdr:graphicFrame macro="">
      <xdr:nvGraphicFramePr>
        <xdr:cNvPr id="4" name="Chart 3">
          <a:extLst>
            <a:ext uri="{FF2B5EF4-FFF2-40B4-BE49-F238E27FC236}">
              <a16:creationId xmlns:a16="http://schemas.microsoft.com/office/drawing/2014/main" id="{C5269B4F-1017-4EF1-90C1-F3C9F9562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205740</xdr:colOff>
      <xdr:row>15</xdr:row>
      <xdr:rowOff>144780</xdr:rowOff>
    </xdr:from>
    <xdr:to>
      <xdr:col>4</xdr:col>
      <xdr:colOff>341376</xdr:colOff>
      <xdr:row>28</xdr:row>
      <xdr:rowOff>144780</xdr:rowOff>
    </xdr:to>
    <xdr:graphicFrame macro="">
      <xdr:nvGraphicFramePr>
        <xdr:cNvPr id="5" name="Chart 4">
          <a:extLst>
            <a:ext uri="{FF2B5EF4-FFF2-40B4-BE49-F238E27FC236}">
              <a16:creationId xmlns:a16="http://schemas.microsoft.com/office/drawing/2014/main" id="{14638CB1-402F-714D-E680-BA3478A4C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45720</xdr:colOff>
      <xdr:row>0</xdr:row>
      <xdr:rowOff>152400</xdr:rowOff>
    </xdr:from>
    <xdr:to>
      <xdr:col>5</xdr:col>
      <xdr:colOff>845372</xdr:colOff>
      <xdr:row>4</xdr:row>
      <xdr:rowOff>88343</xdr:rowOff>
    </xdr:to>
    <xdr:sp macro="" textlink="">
      <xdr:nvSpPr>
        <xdr:cNvPr id="2" name="TextBox 1">
          <a:extLst>
            <a:ext uri="{FF2B5EF4-FFF2-40B4-BE49-F238E27FC236}">
              <a16:creationId xmlns:a16="http://schemas.microsoft.com/office/drawing/2014/main" id="{B61AB67E-B564-4E13-8C5E-7A9AE55EE7C4}"/>
            </a:ext>
          </a:extLst>
        </xdr:cNvPr>
        <xdr:cNvSpPr txBox="1"/>
      </xdr:nvSpPr>
      <xdr:spPr>
        <a:xfrm>
          <a:off x="845820" y="152400"/>
          <a:ext cx="5112572" cy="667463"/>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a:solidFill>
              <a:schemeClr val="bg1"/>
            </a:solidFill>
          </a:endParaRPr>
        </a:p>
        <a:p>
          <a:pPr algn="ctr"/>
          <a:r>
            <a:rPr lang="en-US" sz="1400" b="1">
              <a:solidFill>
                <a:schemeClr val="bg1"/>
              </a:solidFill>
            </a:rPr>
            <a:t>Total of reviews for each type and average price per year</a:t>
          </a:r>
        </a:p>
      </xdr:txBody>
    </xdr:sp>
    <xdr:clientData/>
  </xdr:twoCellAnchor>
  <xdr:twoCellAnchor editAs="absolute">
    <xdr:from>
      <xdr:col>7</xdr:col>
      <xdr:colOff>205740</xdr:colOff>
      <xdr:row>5</xdr:row>
      <xdr:rowOff>15240</xdr:rowOff>
    </xdr:from>
    <xdr:to>
      <xdr:col>11</xdr:col>
      <xdr:colOff>236220</xdr:colOff>
      <xdr:row>33</xdr:row>
      <xdr:rowOff>76200</xdr:rowOff>
    </xdr:to>
    <xdr:graphicFrame macro="">
      <xdr:nvGraphicFramePr>
        <xdr:cNvPr id="4" name="Chart 3">
          <a:extLst>
            <a:ext uri="{FF2B5EF4-FFF2-40B4-BE49-F238E27FC236}">
              <a16:creationId xmlns:a16="http://schemas.microsoft.com/office/drawing/2014/main" id="{891A4A3D-52C0-5EF7-B2D2-B8AB7C081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60960</xdr:colOff>
      <xdr:row>0</xdr:row>
      <xdr:rowOff>167640</xdr:rowOff>
    </xdr:from>
    <xdr:to>
      <xdr:col>10</xdr:col>
      <xdr:colOff>457200</xdr:colOff>
      <xdr:row>3</xdr:row>
      <xdr:rowOff>4482</xdr:rowOff>
    </xdr:to>
    <xdr:sp macro="" textlink="">
      <xdr:nvSpPr>
        <xdr:cNvPr id="2" name="TextBox 1">
          <a:extLst>
            <a:ext uri="{FF2B5EF4-FFF2-40B4-BE49-F238E27FC236}">
              <a16:creationId xmlns:a16="http://schemas.microsoft.com/office/drawing/2014/main" id="{54737D65-FEB6-4D67-BADD-A908B9165461}"/>
            </a:ext>
          </a:extLst>
        </xdr:cNvPr>
        <xdr:cNvSpPr txBox="1"/>
      </xdr:nvSpPr>
      <xdr:spPr>
        <a:xfrm>
          <a:off x="60960" y="167640"/>
          <a:ext cx="8199120" cy="385482"/>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Sum of reviews per year</a:t>
          </a:r>
        </a:p>
      </xdr:txBody>
    </xdr:sp>
    <xdr:clientData/>
  </xdr:twoCellAnchor>
  <xdr:twoCellAnchor>
    <xdr:from>
      <xdr:col>3</xdr:col>
      <xdr:colOff>167640</xdr:colOff>
      <xdr:row>5</xdr:row>
      <xdr:rowOff>15240</xdr:rowOff>
    </xdr:from>
    <xdr:to>
      <xdr:col>12</xdr:col>
      <xdr:colOff>167640</xdr:colOff>
      <xdr:row>17</xdr:row>
      <xdr:rowOff>182880</xdr:rowOff>
    </xdr:to>
    <xdr:graphicFrame macro="">
      <xdr:nvGraphicFramePr>
        <xdr:cNvPr id="3" name="Chart 2">
          <a:extLst>
            <a:ext uri="{FF2B5EF4-FFF2-40B4-BE49-F238E27FC236}">
              <a16:creationId xmlns:a16="http://schemas.microsoft.com/office/drawing/2014/main" id="{72D9ECD3-9FA5-4ED0-9C9F-200CCEB50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53340</xdr:colOff>
      <xdr:row>22</xdr:row>
      <xdr:rowOff>1</xdr:rowOff>
    </xdr:from>
    <xdr:to>
      <xdr:col>10</xdr:col>
      <xdr:colOff>533400</xdr:colOff>
      <xdr:row>24</xdr:row>
      <xdr:rowOff>83821</xdr:rowOff>
    </xdr:to>
    <xdr:sp macro="" textlink="">
      <xdr:nvSpPr>
        <xdr:cNvPr id="4" name="TextBox 3">
          <a:extLst>
            <a:ext uri="{FF2B5EF4-FFF2-40B4-BE49-F238E27FC236}">
              <a16:creationId xmlns:a16="http://schemas.microsoft.com/office/drawing/2014/main" id="{6C4F8FA2-2898-4E4E-9ADB-E5D9D1E5502F}"/>
            </a:ext>
          </a:extLst>
        </xdr:cNvPr>
        <xdr:cNvSpPr txBox="1"/>
      </xdr:nvSpPr>
      <xdr:spPr>
        <a:xfrm>
          <a:off x="53340" y="4053841"/>
          <a:ext cx="8282940" cy="449580"/>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reviews and average user rating for the top </a:t>
          </a:r>
          <a:r>
            <a:rPr lang="ar-EG" sz="1400" b="1">
              <a:solidFill>
                <a:schemeClr val="bg1"/>
              </a:solidFill>
            </a:rPr>
            <a:t>1</a:t>
          </a:r>
          <a:r>
            <a:rPr lang="en-US" sz="1400" b="1">
              <a:solidFill>
                <a:schemeClr val="bg1"/>
              </a:solidFill>
            </a:rPr>
            <a:t>0 authors</a:t>
          </a:r>
        </a:p>
      </xdr:txBody>
    </xdr:sp>
    <xdr:clientData/>
  </xdr:twoCellAnchor>
  <xdr:twoCellAnchor editAs="absolute">
    <xdr:from>
      <xdr:col>4</xdr:col>
      <xdr:colOff>441960</xdr:colOff>
      <xdr:row>26</xdr:row>
      <xdr:rowOff>152400</xdr:rowOff>
    </xdr:from>
    <xdr:to>
      <xdr:col>12</xdr:col>
      <xdr:colOff>373380</xdr:colOff>
      <xdr:row>41</xdr:row>
      <xdr:rowOff>121920</xdr:rowOff>
    </xdr:to>
    <xdr:graphicFrame macro="">
      <xdr:nvGraphicFramePr>
        <xdr:cNvPr id="5" name="Chart 4">
          <a:extLst>
            <a:ext uri="{FF2B5EF4-FFF2-40B4-BE49-F238E27FC236}">
              <a16:creationId xmlns:a16="http://schemas.microsoft.com/office/drawing/2014/main" id="{9DC5F23A-4468-8639-A8C9-ACCA0134A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68580</xdr:colOff>
      <xdr:row>0</xdr:row>
      <xdr:rowOff>114300</xdr:rowOff>
    </xdr:from>
    <xdr:to>
      <xdr:col>8</xdr:col>
      <xdr:colOff>449580</xdr:colOff>
      <xdr:row>3</xdr:row>
      <xdr:rowOff>76649</xdr:rowOff>
    </xdr:to>
    <xdr:sp macro="" textlink="">
      <xdr:nvSpPr>
        <xdr:cNvPr id="2" name="TextBox 1">
          <a:extLst>
            <a:ext uri="{FF2B5EF4-FFF2-40B4-BE49-F238E27FC236}">
              <a16:creationId xmlns:a16="http://schemas.microsoft.com/office/drawing/2014/main" id="{07136C25-A244-4D2E-A370-733FA8BC5874}"/>
            </a:ext>
          </a:extLst>
        </xdr:cNvPr>
        <xdr:cNvSpPr txBox="1"/>
      </xdr:nvSpPr>
      <xdr:spPr>
        <a:xfrm>
          <a:off x="68580" y="114300"/>
          <a:ext cx="11056620" cy="510989"/>
        </a:xfrm>
        <a:prstGeom prst="rect">
          <a:avLst/>
        </a:prstGeom>
        <a:solidFill>
          <a:srgbClr val="00206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reviews and average user rating for the top 10 book and genre</a:t>
          </a:r>
        </a:p>
      </xdr:txBody>
    </xdr:sp>
    <xdr:clientData/>
  </xdr:twoCellAnchor>
  <xdr:twoCellAnchor editAs="absolute">
    <xdr:from>
      <xdr:col>0</xdr:col>
      <xdr:colOff>38100</xdr:colOff>
      <xdr:row>29</xdr:row>
      <xdr:rowOff>152400</xdr:rowOff>
    </xdr:from>
    <xdr:to>
      <xdr:col>6</xdr:col>
      <xdr:colOff>152400</xdr:colOff>
      <xdr:row>54</xdr:row>
      <xdr:rowOff>53340</xdr:rowOff>
    </xdr:to>
    <xdr:graphicFrame macro="">
      <xdr:nvGraphicFramePr>
        <xdr:cNvPr id="3" name="Chart 2">
          <a:extLst>
            <a:ext uri="{FF2B5EF4-FFF2-40B4-BE49-F238E27FC236}">
              <a16:creationId xmlns:a16="http://schemas.microsoft.com/office/drawing/2014/main" id="{349C4B15-E4EA-3B17-B4CA-B7BAF6C90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68580</xdr:colOff>
      <xdr:row>20</xdr:row>
      <xdr:rowOff>53340</xdr:rowOff>
    </xdr:from>
    <xdr:to>
      <xdr:col>2</xdr:col>
      <xdr:colOff>579120</xdr:colOff>
      <xdr:row>26</xdr:row>
      <xdr:rowOff>175260</xdr:rowOff>
    </xdr:to>
    <xdr:sp macro="" textlink="">
      <xdr:nvSpPr>
        <xdr:cNvPr id="23" name="Rectangle: Rounded Corners 22">
          <a:extLst>
            <a:ext uri="{FF2B5EF4-FFF2-40B4-BE49-F238E27FC236}">
              <a16:creationId xmlns:a16="http://schemas.microsoft.com/office/drawing/2014/main" id="{25058127-B554-E5B8-9586-F728AEC37FC5}"/>
            </a:ext>
          </a:extLst>
        </xdr:cNvPr>
        <xdr:cNvSpPr/>
      </xdr:nvSpPr>
      <xdr:spPr>
        <a:xfrm>
          <a:off x="68580" y="3710940"/>
          <a:ext cx="1729740" cy="121920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ysClr val="windowText" lastClr="000000"/>
            </a:solidFill>
            <a:latin typeface="+mn-lt"/>
            <a:ea typeface="+mn-ea"/>
            <a:cs typeface="+mn-cs"/>
          </a:endParaRPr>
        </a:p>
      </xdr:txBody>
    </xdr:sp>
    <xdr:clientData/>
  </xdr:twoCellAnchor>
  <xdr:twoCellAnchor editAs="absolute">
    <xdr:from>
      <xdr:col>0</xdr:col>
      <xdr:colOff>53340</xdr:colOff>
      <xdr:row>7</xdr:row>
      <xdr:rowOff>114300</xdr:rowOff>
    </xdr:from>
    <xdr:to>
      <xdr:col>2</xdr:col>
      <xdr:colOff>563880</xdr:colOff>
      <xdr:row>19</xdr:row>
      <xdr:rowOff>137160</xdr:rowOff>
    </xdr:to>
    <xdr:sp macro="" textlink="">
      <xdr:nvSpPr>
        <xdr:cNvPr id="20" name="Rectangle: Rounded Corners 19">
          <a:extLst>
            <a:ext uri="{FF2B5EF4-FFF2-40B4-BE49-F238E27FC236}">
              <a16:creationId xmlns:a16="http://schemas.microsoft.com/office/drawing/2014/main" id="{309B1688-34B6-53DF-1F8C-8352DB56519C}"/>
            </a:ext>
          </a:extLst>
        </xdr:cNvPr>
        <xdr:cNvSpPr/>
      </xdr:nvSpPr>
      <xdr:spPr>
        <a:xfrm>
          <a:off x="53340" y="1394460"/>
          <a:ext cx="1729740" cy="221742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ysClr val="windowText" lastClr="000000"/>
            </a:solidFill>
            <a:latin typeface="+mn-lt"/>
            <a:ea typeface="+mn-ea"/>
            <a:cs typeface="+mn-cs"/>
          </a:endParaRPr>
        </a:p>
      </xdr:txBody>
    </xdr:sp>
    <xdr:clientData/>
  </xdr:twoCellAnchor>
  <xdr:twoCellAnchor>
    <xdr:from>
      <xdr:col>3</xdr:col>
      <xdr:colOff>80677</xdr:colOff>
      <xdr:row>7</xdr:row>
      <xdr:rowOff>133847</xdr:rowOff>
    </xdr:from>
    <xdr:to>
      <xdr:col>12</xdr:col>
      <xdr:colOff>80677</xdr:colOff>
      <xdr:row>21</xdr:row>
      <xdr:rowOff>1170</xdr:rowOff>
    </xdr:to>
    <xdr:graphicFrame macro="">
      <xdr:nvGraphicFramePr>
        <xdr:cNvPr id="2" name="Chart 1">
          <a:extLst>
            <a:ext uri="{FF2B5EF4-FFF2-40B4-BE49-F238E27FC236}">
              <a16:creationId xmlns:a16="http://schemas.microsoft.com/office/drawing/2014/main" id="{7463B0A0-B04E-4313-94F4-DC14CBD1B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45720</xdr:colOff>
      <xdr:row>0</xdr:row>
      <xdr:rowOff>30480</xdr:rowOff>
    </xdr:from>
    <xdr:to>
      <xdr:col>24</xdr:col>
      <xdr:colOff>190500</xdr:colOff>
      <xdr:row>7</xdr:row>
      <xdr:rowOff>53340</xdr:rowOff>
    </xdr:to>
    <xdr:sp macro="" textlink="">
      <xdr:nvSpPr>
        <xdr:cNvPr id="6" name="Rectangle: Rounded Corners 5">
          <a:extLst>
            <a:ext uri="{FF2B5EF4-FFF2-40B4-BE49-F238E27FC236}">
              <a16:creationId xmlns:a16="http://schemas.microsoft.com/office/drawing/2014/main" id="{3102B0A4-F7C8-85AD-1312-6AD6BFC9CFA4}"/>
            </a:ext>
          </a:extLst>
        </xdr:cNvPr>
        <xdr:cNvSpPr/>
      </xdr:nvSpPr>
      <xdr:spPr>
        <a:xfrm>
          <a:off x="45720" y="30480"/>
          <a:ext cx="14775180" cy="130302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xdr:col>
      <xdr:colOff>190500</xdr:colOff>
      <xdr:row>1</xdr:row>
      <xdr:rowOff>38100</xdr:rowOff>
    </xdr:from>
    <xdr:to>
      <xdr:col>5</xdr:col>
      <xdr:colOff>342900</xdr:colOff>
      <xdr:row>4</xdr:row>
      <xdr:rowOff>121920</xdr:rowOff>
    </xdr:to>
    <xdr:sp macro="" textlink="">
      <xdr:nvSpPr>
        <xdr:cNvPr id="7" name="TextBox 6">
          <a:extLst>
            <a:ext uri="{FF2B5EF4-FFF2-40B4-BE49-F238E27FC236}">
              <a16:creationId xmlns:a16="http://schemas.microsoft.com/office/drawing/2014/main" id="{985B659D-FEE7-DB53-B815-1DE85F0D185D}"/>
            </a:ext>
          </a:extLst>
        </xdr:cNvPr>
        <xdr:cNvSpPr txBox="1"/>
      </xdr:nvSpPr>
      <xdr:spPr>
        <a:xfrm>
          <a:off x="800100" y="220980"/>
          <a:ext cx="2590800" cy="632460"/>
        </a:xfrm>
        <a:prstGeom prst="rect">
          <a:avLst/>
        </a:prstGeom>
        <a:solidFill>
          <a:schemeClr val="bg2">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accent1">
                  <a:lumMod val="75000"/>
                </a:schemeClr>
              </a:solidFill>
            </a:rPr>
            <a:t>Books</a:t>
          </a:r>
          <a:r>
            <a:rPr lang="en-US" sz="1800" b="1" baseline="0">
              <a:solidFill>
                <a:schemeClr val="accent1">
                  <a:lumMod val="75000"/>
                </a:schemeClr>
              </a:solidFill>
            </a:rPr>
            <a:t> Dashboard</a:t>
          </a:r>
          <a:endParaRPr lang="en-US" sz="1800" b="1">
            <a:solidFill>
              <a:schemeClr val="accent1">
                <a:lumMod val="75000"/>
              </a:schemeClr>
            </a:solidFill>
          </a:endParaRPr>
        </a:p>
      </xdr:txBody>
    </xdr:sp>
    <xdr:clientData/>
  </xdr:twoCellAnchor>
  <xdr:twoCellAnchor editAs="absolute">
    <xdr:from>
      <xdr:col>0</xdr:col>
      <xdr:colOff>76200</xdr:colOff>
      <xdr:row>1</xdr:row>
      <xdr:rowOff>0</xdr:rowOff>
    </xdr:from>
    <xdr:to>
      <xdr:col>1</xdr:col>
      <xdr:colOff>228600</xdr:colOff>
      <xdr:row>5</xdr:row>
      <xdr:rowOff>30480</xdr:rowOff>
    </xdr:to>
    <xdr:pic>
      <xdr:nvPicPr>
        <xdr:cNvPr id="8" name="Graphic 7" descr="Bar chart with solid fill">
          <a:extLst>
            <a:ext uri="{FF2B5EF4-FFF2-40B4-BE49-F238E27FC236}">
              <a16:creationId xmlns:a16="http://schemas.microsoft.com/office/drawing/2014/main" id="{A55F1BA2-35CE-4AE3-B7FB-477A686E45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 y="182880"/>
          <a:ext cx="762000" cy="7620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absolute">
    <xdr:from>
      <xdr:col>11</xdr:col>
      <xdr:colOff>232576</xdr:colOff>
      <xdr:row>2</xdr:row>
      <xdr:rowOff>104692</xdr:rowOff>
    </xdr:from>
    <xdr:to>
      <xdr:col>15</xdr:col>
      <xdr:colOff>350520</xdr:colOff>
      <xdr:row>6</xdr:row>
      <xdr:rowOff>10602</xdr:rowOff>
    </xdr:to>
    <xdr:sp macro="" textlink="">
      <xdr:nvSpPr>
        <xdr:cNvPr id="9" name="Rectangle: Rounded Corners 8">
          <a:extLst>
            <a:ext uri="{FF2B5EF4-FFF2-40B4-BE49-F238E27FC236}">
              <a16:creationId xmlns:a16="http://schemas.microsoft.com/office/drawing/2014/main" id="{E2079617-3915-7C37-A00D-CCD83EE6F3DC}"/>
            </a:ext>
          </a:extLst>
        </xdr:cNvPr>
        <xdr:cNvSpPr/>
      </xdr:nvSpPr>
      <xdr:spPr>
        <a:xfrm>
          <a:off x="6938176" y="470452"/>
          <a:ext cx="2556344" cy="63743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absolute">
    <xdr:from>
      <xdr:col>13</xdr:col>
      <xdr:colOff>220980</xdr:colOff>
      <xdr:row>3</xdr:row>
      <xdr:rowOff>94753</xdr:rowOff>
    </xdr:from>
    <xdr:to>
      <xdr:col>14</xdr:col>
      <xdr:colOff>175260</xdr:colOff>
      <xdr:row>4</xdr:row>
      <xdr:rowOff>180892</xdr:rowOff>
    </xdr:to>
    <xdr:sp macro="" textlink="Answers!K20">
      <xdr:nvSpPr>
        <xdr:cNvPr id="19" name="TextBox 18">
          <a:extLst>
            <a:ext uri="{FF2B5EF4-FFF2-40B4-BE49-F238E27FC236}">
              <a16:creationId xmlns:a16="http://schemas.microsoft.com/office/drawing/2014/main" id="{C3A44C83-F700-5B33-7C67-140662EBDD5A}"/>
            </a:ext>
          </a:extLst>
        </xdr:cNvPr>
        <xdr:cNvSpPr txBox="1"/>
      </xdr:nvSpPr>
      <xdr:spPr>
        <a:xfrm>
          <a:off x="8145780" y="643393"/>
          <a:ext cx="563880" cy="269019"/>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9B8150-6C25-49D4-AE82-22E85587DFAF}" type="TxLink">
            <a:rPr lang="en-US" sz="1200" b="1" i="0" u="none" strike="noStrike">
              <a:solidFill>
                <a:schemeClr val="bg1"/>
              </a:solidFill>
              <a:latin typeface="Aptos Narrow"/>
            </a:rPr>
            <a:pPr/>
            <a:t>6.5M</a:t>
          </a:fld>
          <a:endParaRPr lang="en-US" sz="1200">
            <a:solidFill>
              <a:schemeClr val="bg1"/>
            </a:solidFill>
          </a:endParaRPr>
        </a:p>
      </xdr:txBody>
    </xdr:sp>
    <xdr:clientData/>
  </xdr:twoCellAnchor>
  <xdr:twoCellAnchor editAs="absolute">
    <xdr:from>
      <xdr:col>15</xdr:col>
      <xdr:colOff>496138</xdr:colOff>
      <xdr:row>2</xdr:row>
      <xdr:rowOff>95728</xdr:rowOff>
    </xdr:from>
    <xdr:to>
      <xdr:col>20</xdr:col>
      <xdr:colOff>472440</xdr:colOff>
      <xdr:row>5</xdr:row>
      <xdr:rowOff>180933</xdr:rowOff>
    </xdr:to>
    <xdr:sp macro="" textlink="">
      <xdr:nvSpPr>
        <xdr:cNvPr id="21" name="Rectangle: Rounded Corners 20">
          <a:extLst>
            <a:ext uri="{FF2B5EF4-FFF2-40B4-BE49-F238E27FC236}">
              <a16:creationId xmlns:a16="http://schemas.microsoft.com/office/drawing/2014/main" id="{7FF61612-8662-84EA-9F92-CC75FBDEF5DF}"/>
            </a:ext>
          </a:extLst>
        </xdr:cNvPr>
        <xdr:cNvSpPr/>
      </xdr:nvSpPr>
      <xdr:spPr>
        <a:xfrm>
          <a:off x="9640138" y="461488"/>
          <a:ext cx="3024302" cy="633845"/>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absolute">
    <xdr:from>
      <xdr:col>15</xdr:col>
      <xdr:colOff>571500</xdr:colOff>
      <xdr:row>3</xdr:row>
      <xdr:rowOff>60960</xdr:rowOff>
    </xdr:from>
    <xdr:to>
      <xdr:col>18</xdr:col>
      <xdr:colOff>152400</xdr:colOff>
      <xdr:row>5</xdr:row>
      <xdr:rowOff>7620</xdr:rowOff>
    </xdr:to>
    <xdr:sp macro="" textlink="">
      <xdr:nvSpPr>
        <xdr:cNvPr id="25" name="TextBox 24">
          <a:extLst>
            <a:ext uri="{FF2B5EF4-FFF2-40B4-BE49-F238E27FC236}">
              <a16:creationId xmlns:a16="http://schemas.microsoft.com/office/drawing/2014/main" id="{A28AC933-8AF0-AA48-8EBE-7A703139E1F7}"/>
            </a:ext>
          </a:extLst>
        </xdr:cNvPr>
        <xdr:cNvSpPr txBox="1"/>
      </xdr:nvSpPr>
      <xdr:spPr>
        <a:xfrm>
          <a:off x="9715500" y="609600"/>
          <a:ext cx="1409700" cy="31242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average user rating</a:t>
          </a:r>
        </a:p>
      </xdr:txBody>
    </xdr:sp>
    <xdr:clientData/>
  </xdr:twoCellAnchor>
  <xdr:twoCellAnchor editAs="absolute">
    <xdr:from>
      <xdr:col>11</xdr:col>
      <xdr:colOff>297180</xdr:colOff>
      <xdr:row>3</xdr:row>
      <xdr:rowOff>99060</xdr:rowOff>
    </xdr:from>
    <xdr:to>
      <xdr:col>13</xdr:col>
      <xdr:colOff>175260</xdr:colOff>
      <xdr:row>4</xdr:row>
      <xdr:rowOff>175260</xdr:rowOff>
    </xdr:to>
    <xdr:sp macro="" textlink="">
      <xdr:nvSpPr>
        <xdr:cNvPr id="26" name="TextBox 25">
          <a:extLst>
            <a:ext uri="{FF2B5EF4-FFF2-40B4-BE49-F238E27FC236}">
              <a16:creationId xmlns:a16="http://schemas.microsoft.com/office/drawing/2014/main" id="{FEF645E5-9ED7-D807-751D-34A5E64FBF38}"/>
            </a:ext>
          </a:extLst>
        </xdr:cNvPr>
        <xdr:cNvSpPr txBox="1"/>
      </xdr:nvSpPr>
      <xdr:spPr>
        <a:xfrm>
          <a:off x="7002780" y="647700"/>
          <a:ext cx="1097280" cy="25908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Reviews</a:t>
          </a:r>
        </a:p>
      </xdr:txBody>
    </xdr:sp>
    <xdr:clientData/>
  </xdr:twoCellAnchor>
  <xdr:twoCellAnchor editAs="absolute">
    <xdr:from>
      <xdr:col>18</xdr:col>
      <xdr:colOff>312420</xdr:colOff>
      <xdr:row>3</xdr:row>
      <xdr:rowOff>68580</xdr:rowOff>
    </xdr:from>
    <xdr:to>
      <xdr:col>19</xdr:col>
      <xdr:colOff>160020</xdr:colOff>
      <xdr:row>4</xdr:row>
      <xdr:rowOff>175260</xdr:rowOff>
    </xdr:to>
    <xdr:sp macro="" textlink="Answers!K19">
      <xdr:nvSpPr>
        <xdr:cNvPr id="27" name="TextBox 26">
          <a:extLst>
            <a:ext uri="{FF2B5EF4-FFF2-40B4-BE49-F238E27FC236}">
              <a16:creationId xmlns:a16="http://schemas.microsoft.com/office/drawing/2014/main" id="{2EF6A8FF-BF18-3CCA-1C9D-D0D5D8C3CE5E}"/>
            </a:ext>
          </a:extLst>
        </xdr:cNvPr>
        <xdr:cNvSpPr txBox="1"/>
      </xdr:nvSpPr>
      <xdr:spPr>
        <a:xfrm>
          <a:off x="11285220" y="617220"/>
          <a:ext cx="457200" cy="28956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FD7A8D-ABC5-421B-8CFE-2785D2D1B446}" type="TxLink">
            <a:rPr lang="en-US" sz="1200" b="1" i="0" u="none" strike="noStrike">
              <a:solidFill>
                <a:schemeClr val="bg1"/>
              </a:solidFill>
              <a:latin typeface="Aptos Narrow"/>
            </a:rPr>
            <a:pPr algn="ctr"/>
            <a:t>4.6</a:t>
          </a:fld>
          <a:endParaRPr lang="en-US" sz="1200">
            <a:solidFill>
              <a:schemeClr val="bg1"/>
            </a:solidFill>
          </a:endParaRPr>
        </a:p>
      </xdr:txBody>
    </xdr:sp>
    <xdr:clientData/>
  </xdr:twoCellAnchor>
  <xdr:twoCellAnchor editAs="absolute">
    <xdr:from>
      <xdr:col>19</xdr:col>
      <xdr:colOff>358588</xdr:colOff>
      <xdr:row>2</xdr:row>
      <xdr:rowOff>152400</xdr:rowOff>
    </xdr:from>
    <xdr:to>
      <xdr:col>20</xdr:col>
      <xdr:colOff>274320</xdr:colOff>
      <xdr:row>5</xdr:row>
      <xdr:rowOff>68580</xdr:rowOff>
    </xdr:to>
    <xdr:pic>
      <xdr:nvPicPr>
        <xdr:cNvPr id="29" name="Picture 28">
          <a:extLst>
            <a:ext uri="{FF2B5EF4-FFF2-40B4-BE49-F238E27FC236}">
              <a16:creationId xmlns:a16="http://schemas.microsoft.com/office/drawing/2014/main" id="{02B1BF2E-45A7-19E8-A018-991ED69925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40988" y="510988"/>
          <a:ext cx="525332" cy="454063"/>
        </a:xfrm>
        <a:prstGeom prst="rect">
          <a:avLst/>
        </a:prstGeom>
      </xdr:spPr>
    </xdr:pic>
    <xdr:clientData/>
  </xdr:twoCellAnchor>
  <xdr:twoCellAnchor editAs="absolute">
    <xdr:from>
      <xdr:col>14</xdr:col>
      <xdr:colOff>290241</xdr:colOff>
      <xdr:row>2</xdr:row>
      <xdr:rowOff>175261</xdr:rowOff>
    </xdr:from>
    <xdr:to>
      <xdr:col>15</xdr:col>
      <xdr:colOff>137841</xdr:colOff>
      <xdr:row>5</xdr:row>
      <xdr:rowOff>83821</xdr:rowOff>
    </xdr:to>
    <xdr:pic>
      <xdr:nvPicPr>
        <xdr:cNvPr id="31" name="Picture 30">
          <a:extLst>
            <a:ext uri="{FF2B5EF4-FFF2-40B4-BE49-F238E27FC236}">
              <a16:creationId xmlns:a16="http://schemas.microsoft.com/office/drawing/2014/main" id="{C25AA528-6746-44DF-F458-1E2659C599D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24641" y="541021"/>
          <a:ext cx="457200" cy="457200"/>
        </a:xfrm>
        <a:prstGeom prst="rect">
          <a:avLst/>
        </a:prstGeom>
      </xdr:spPr>
    </xdr:pic>
    <xdr:clientData/>
  </xdr:twoCellAnchor>
  <xdr:twoCellAnchor editAs="absolute">
    <xdr:from>
      <xdr:col>6</xdr:col>
      <xdr:colOff>266700</xdr:colOff>
      <xdr:row>2</xdr:row>
      <xdr:rowOff>99060</xdr:rowOff>
    </xdr:from>
    <xdr:to>
      <xdr:col>10</xdr:col>
      <xdr:colOff>529424</xdr:colOff>
      <xdr:row>6</xdr:row>
      <xdr:rowOff>45720</xdr:rowOff>
    </xdr:to>
    <xdr:sp macro="" textlink="">
      <xdr:nvSpPr>
        <xdr:cNvPr id="32" name="Rectangle: Rounded Corners 31">
          <a:extLst>
            <a:ext uri="{FF2B5EF4-FFF2-40B4-BE49-F238E27FC236}">
              <a16:creationId xmlns:a16="http://schemas.microsoft.com/office/drawing/2014/main" id="{69E78620-DF3D-4A3E-BE66-2EB0856F4568}"/>
            </a:ext>
          </a:extLst>
        </xdr:cNvPr>
        <xdr:cNvSpPr/>
      </xdr:nvSpPr>
      <xdr:spPr>
        <a:xfrm>
          <a:off x="3924300" y="464820"/>
          <a:ext cx="2701124" cy="67818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4</xdr:col>
      <xdr:colOff>342290</xdr:colOff>
      <xdr:row>1</xdr:row>
      <xdr:rowOff>144780</xdr:rowOff>
    </xdr:from>
    <xdr:to>
      <xdr:col>5</xdr:col>
      <xdr:colOff>174650</xdr:colOff>
      <xdr:row>4</xdr:row>
      <xdr:rowOff>38100</xdr:rowOff>
    </xdr:to>
    <xdr:pic>
      <xdr:nvPicPr>
        <xdr:cNvPr id="34" name="Picture 33">
          <a:extLst>
            <a:ext uri="{FF2B5EF4-FFF2-40B4-BE49-F238E27FC236}">
              <a16:creationId xmlns:a16="http://schemas.microsoft.com/office/drawing/2014/main" id="{B6BC4078-1E47-CBE8-7277-A9FE4719B7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80690" y="327660"/>
          <a:ext cx="441960" cy="441960"/>
        </a:xfrm>
        <a:prstGeom prst="rect">
          <a:avLst/>
        </a:prstGeom>
      </xdr:spPr>
    </xdr:pic>
    <xdr:clientData/>
  </xdr:twoCellAnchor>
  <xdr:twoCellAnchor editAs="absolute">
    <xdr:from>
      <xdr:col>6</xdr:col>
      <xdr:colOff>335280</xdr:colOff>
      <xdr:row>3</xdr:row>
      <xdr:rowOff>129540</xdr:rowOff>
    </xdr:from>
    <xdr:to>
      <xdr:col>8</xdr:col>
      <xdr:colOff>213360</xdr:colOff>
      <xdr:row>5</xdr:row>
      <xdr:rowOff>30480</xdr:rowOff>
    </xdr:to>
    <xdr:sp macro="" textlink="">
      <xdr:nvSpPr>
        <xdr:cNvPr id="35" name="TextBox 34">
          <a:extLst>
            <a:ext uri="{FF2B5EF4-FFF2-40B4-BE49-F238E27FC236}">
              <a16:creationId xmlns:a16="http://schemas.microsoft.com/office/drawing/2014/main" id="{76F67B72-8391-6D03-E2E6-D76FFCDADD34}"/>
            </a:ext>
          </a:extLst>
        </xdr:cNvPr>
        <xdr:cNvSpPr txBox="1"/>
      </xdr:nvSpPr>
      <xdr:spPr>
        <a:xfrm>
          <a:off x="3992880" y="678180"/>
          <a:ext cx="1097280" cy="26670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price</a:t>
          </a:r>
        </a:p>
      </xdr:txBody>
    </xdr:sp>
    <xdr:clientData/>
  </xdr:twoCellAnchor>
  <xdr:twoCellAnchor editAs="absolute">
    <xdr:from>
      <xdr:col>8</xdr:col>
      <xdr:colOff>289560</xdr:colOff>
      <xdr:row>3</xdr:row>
      <xdr:rowOff>137160</xdr:rowOff>
    </xdr:from>
    <xdr:to>
      <xdr:col>9</xdr:col>
      <xdr:colOff>365760</xdr:colOff>
      <xdr:row>5</xdr:row>
      <xdr:rowOff>38100</xdr:rowOff>
    </xdr:to>
    <xdr:sp macro="" textlink="Answers!K15">
      <xdr:nvSpPr>
        <xdr:cNvPr id="38" name="TextBox 37">
          <a:extLst>
            <a:ext uri="{FF2B5EF4-FFF2-40B4-BE49-F238E27FC236}">
              <a16:creationId xmlns:a16="http://schemas.microsoft.com/office/drawing/2014/main" id="{6D67EDAF-503B-B59B-4DA9-92E444D632F1}"/>
            </a:ext>
          </a:extLst>
        </xdr:cNvPr>
        <xdr:cNvSpPr txBox="1"/>
      </xdr:nvSpPr>
      <xdr:spPr>
        <a:xfrm>
          <a:off x="5166360" y="685800"/>
          <a:ext cx="685800" cy="26670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8C2BEA-F60E-42D5-A109-6F4DCB10E7D7}" type="TxLink">
            <a:rPr lang="en-US" sz="1100" b="1" i="0" u="none" strike="noStrike">
              <a:solidFill>
                <a:srgbClr val="FFFFFF"/>
              </a:solidFill>
              <a:latin typeface="Aptos Narrow"/>
            </a:rPr>
            <a:pPr/>
            <a:t>7.28 K$</a:t>
          </a:fld>
          <a:endParaRPr lang="en-US" sz="1100"/>
        </a:p>
      </xdr:txBody>
    </xdr:sp>
    <xdr:clientData/>
  </xdr:twoCellAnchor>
  <xdr:twoCellAnchor editAs="absolute">
    <xdr:from>
      <xdr:col>9</xdr:col>
      <xdr:colOff>525780</xdr:colOff>
      <xdr:row>3</xdr:row>
      <xdr:rowOff>60960</xdr:rowOff>
    </xdr:from>
    <xdr:to>
      <xdr:col>10</xdr:col>
      <xdr:colOff>304800</xdr:colOff>
      <xdr:row>5</xdr:row>
      <xdr:rowOff>83820</xdr:rowOff>
    </xdr:to>
    <xdr:pic>
      <xdr:nvPicPr>
        <xdr:cNvPr id="40" name="Picture 39">
          <a:extLst>
            <a:ext uri="{FF2B5EF4-FFF2-40B4-BE49-F238E27FC236}">
              <a16:creationId xmlns:a16="http://schemas.microsoft.com/office/drawing/2014/main" id="{CE028CD7-47D4-0B49-E8CB-6E38D481F3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12180" y="609600"/>
          <a:ext cx="388620" cy="388620"/>
        </a:xfrm>
        <a:prstGeom prst="rect">
          <a:avLst/>
        </a:prstGeom>
      </xdr:spPr>
    </xdr:pic>
    <xdr:clientData/>
  </xdr:twoCellAnchor>
  <xdr:twoCellAnchor>
    <xdr:from>
      <xdr:col>3</xdr:col>
      <xdr:colOff>89642</xdr:colOff>
      <xdr:row>21</xdr:row>
      <xdr:rowOff>177496</xdr:rowOff>
    </xdr:from>
    <xdr:to>
      <xdr:col>12</xdr:col>
      <xdr:colOff>89642</xdr:colOff>
      <xdr:row>35</xdr:row>
      <xdr:rowOff>44818</xdr:rowOff>
    </xdr:to>
    <xdr:graphicFrame macro="">
      <xdr:nvGraphicFramePr>
        <xdr:cNvPr id="41" name="Chart 40">
          <a:extLst>
            <a:ext uri="{FF2B5EF4-FFF2-40B4-BE49-F238E27FC236}">
              <a16:creationId xmlns:a16="http://schemas.microsoft.com/office/drawing/2014/main" id="{36CA55E6-D883-43BE-84D4-7C54DBD38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313762</xdr:colOff>
      <xdr:row>7</xdr:row>
      <xdr:rowOff>125506</xdr:rowOff>
    </xdr:from>
    <xdr:to>
      <xdr:col>21</xdr:col>
      <xdr:colOff>313762</xdr:colOff>
      <xdr:row>20</xdr:row>
      <xdr:rowOff>172123</xdr:rowOff>
    </xdr:to>
    <xdr:graphicFrame macro="">
      <xdr:nvGraphicFramePr>
        <xdr:cNvPr id="42" name="Chart 41">
          <a:extLst>
            <a:ext uri="{FF2B5EF4-FFF2-40B4-BE49-F238E27FC236}">
              <a16:creationId xmlns:a16="http://schemas.microsoft.com/office/drawing/2014/main" id="{55F69FD0-46B4-43AB-81D8-C37539B03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331686</xdr:colOff>
      <xdr:row>21</xdr:row>
      <xdr:rowOff>152405</xdr:rowOff>
    </xdr:from>
    <xdr:to>
      <xdr:col>21</xdr:col>
      <xdr:colOff>331686</xdr:colOff>
      <xdr:row>35</xdr:row>
      <xdr:rowOff>19727</xdr:rowOff>
    </xdr:to>
    <xdr:graphicFrame macro="">
      <xdr:nvGraphicFramePr>
        <xdr:cNvPr id="43" name="Chart 42">
          <a:extLst>
            <a:ext uri="{FF2B5EF4-FFF2-40B4-BE49-F238E27FC236}">
              <a16:creationId xmlns:a16="http://schemas.microsoft.com/office/drawing/2014/main" id="{3D701D67-585D-46BD-8DB4-BC52CAE95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430304</xdr:colOff>
      <xdr:row>7</xdr:row>
      <xdr:rowOff>152398</xdr:rowOff>
    </xdr:from>
    <xdr:to>
      <xdr:col>24</xdr:col>
      <xdr:colOff>233082</xdr:colOff>
      <xdr:row>35</xdr:row>
      <xdr:rowOff>62753</xdr:rowOff>
    </xdr:to>
    <xdr:sp macro="" textlink="">
      <xdr:nvSpPr>
        <xdr:cNvPr id="3" name="Rectangle: Rounded Corners 2">
          <a:extLst>
            <a:ext uri="{FF2B5EF4-FFF2-40B4-BE49-F238E27FC236}">
              <a16:creationId xmlns:a16="http://schemas.microsoft.com/office/drawing/2014/main" id="{22FDFD36-20B0-9701-AB97-9957AA0C3F37}"/>
            </a:ext>
          </a:extLst>
        </xdr:cNvPr>
        <xdr:cNvSpPr/>
      </xdr:nvSpPr>
      <xdr:spPr>
        <a:xfrm>
          <a:off x="13231904" y="1407457"/>
          <a:ext cx="1631578" cy="493059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ysClr val="windowText" lastClr="000000"/>
            </a:solidFill>
            <a:latin typeface="+mn-lt"/>
            <a:ea typeface="+mn-ea"/>
            <a:cs typeface="+mn-cs"/>
          </a:endParaRPr>
        </a:p>
      </xdr:txBody>
    </xdr:sp>
    <xdr:clientData/>
  </xdr:twoCellAnchor>
  <xdr:twoCellAnchor editAs="absolute">
    <xdr:from>
      <xdr:col>21</xdr:col>
      <xdr:colOff>525582</xdr:colOff>
      <xdr:row>19</xdr:row>
      <xdr:rowOff>128840</xdr:rowOff>
    </xdr:from>
    <xdr:to>
      <xdr:col>22</xdr:col>
      <xdr:colOff>502023</xdr:colOff>
      <xdr:row>34</xdr:row>
      <xdr:rowOff>116545</xdr:rowOff>
    </xdr:to>
    <xdr:sp macro="" textlink="">
      <xdr:nvSpPr>
        <xdr:cNvPr id="5" name="Rectangle: Rounded Corners 4">
          <a:extLst>
            <a:ext uri="{FF2B5EF4-FFF2-40B4-BE49-F238E27FC236}">
              <a16:creationId xmlns:a16="http://schemas.microsoft.com/office/drawing/2014/main" id="{18FCD1BC-6269-418A-A08F-D307820DF8B7}"/>
            </a:ext>
          </a:extLst>
        </xdr:cNvPr>
        <xdr:cNvSpPr/>
      </xdr:nvSpPr>
      <xdr:spPr>
        <a:xfrm rot="5400000">
          <a:off x="12281644" y="4580966"/>
          <a:ext cx="2677117" cy="586041"/>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lIns="91440" rtlCol="0" anchor="ctr"/>
        <a:lstStyle/>
        <a:p>
          <a:pPr algn="ctr"/>
          <a:endParaRPr lang="en-US" sz="1100"/>
        </a:p>
      </xdr:txBody>
    </xdr:sp>
    <xdr:clientData/>
  </xdr:twoCellAnchor>
  <xdr:twoCellAnchor editAs="absolute">
    <xdr:from>
      <xdr:col>22</xdr:col>
      <xdr:colOff>609599</xdr:colOff>
      <xdr:row>19</xdr:row>
      <xdr:rowOff>137807</xdr:rowOff>
    </xdr:from>
    <xdr:to>
      <xdr:col>24</xdr:col>
      <xdr:colOff>134471</xdr:colOff>
      <xdr:row>34</xdr:row>
      <xdr:rowOff>125512</xdr:rowOff>
    </xdr:to>
    <xdr:sp macro="" textlink="">
      <xdr:nvSpPr>
        <xdr:cNvPr id="10" name="Rectangle: Rounded Corners 9">
          <a:extLst>
            <a:ext uri="{FF2B5EF4-FFF2-40B4-BE49-F238E27FC236}">
              <a16:creationId xmlns:a16="http://schemas.microsoft.com/office/drawing/2014/main" id="{C3EE200B-FAE1-70CA-30BE-296965F8BEE7}"/>
            </a:ext>
          </a:extLst>
        </xdr:cNvPr>
        <xdr:cNvSpPr/>
      </xdr:nvSpPr>
      <xdr:spPr>
        <a:xfrm rot="5400000">
          <a:off x="13054276" y="4510918"/>
          <a:ext cx="2677117" cy="744072"/>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lIns="91440" rtlCol="0" anchor="ctr"/>
        <a:lstStyle/>
        <a:p>
          <a:pPr algn="ctr"/>
          <a:endParaRPr lang="en-US" sz="1100"/>
        </a:p>
      </xdr:txBody>
    </xdr:sp>
    <xdr:clientData/>
  </xdr:twoCellAnchor>
  <xdr:twoCellAnchor editAs="absolute">
    <xdr:from>
      <xdr:col>22</xdr:col>
      <xdr:colOff>586740</xdr:colOff>
      <xdr:row>8</xdr:row>
      <xdr:rowOff>0</xdr:rowOff>
    </xdr:from>
    <xdr:to>
      <xdr:col>24</xdr:col>
      <xdr:colOff>121920</xdr:colOff>
      <xdr:row>19</xdr:row>
      <xdr:rowOff>22860</xdr:rowOff>
    </xdr:to>
    <xdr:sp macro="" textlink="">
      <xdr:nvSpPr>
        <xdr:cNvPr id="11" name="Rectangle: Rounded Corners 10">
          <a:extLst>
            <a:ext uri="{FF2B5EF4-FFF2-40B4-BE49-F238E27FC236}">
              <a16:creationId xmlns:a16="http://schemas.microsoft.com/office/drawing/2014/main" id="{50367E79-7EE2-B0CC-D9CA-A20B76344D94}"/>
            </a:ext>
          </a:extLst>
        </xdr:cNvPr>
        <xdr:cNvSpPr/>
      </xdr:nvSpPr>
      <xdr:spPr>
        <a:xfrm rot="5400000">
          <a:off x="13357860" y="2103120"/>
          <a:ext cx="2034540" cy="75438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lIns="91440" rtlCol="0" anchor="ctr"/>
        <a:lstStyle/>
        <a:p>
          <a:pPr algn="ctr"/>
          <a:endParaRPr lang="en-US" sz="1100"/>
        </a:p>
      </xdr:txBody>
    </xdr:sp>
    <xdr:clientData/>
  </xdr:twoCellAnchor>
  <xdr:twoCellAnchor editAs="absolute">
    <xdr:from>
      <xdr:col>21</xdr:col>
      <xdr:colOff>539476</xdr:colOff>
      <xdr:row>8</xdr:row>
      <xdr:rowOff>15243</xdr:rowOff>
    </xdr:from>
    <xdr:to>
      <xdr:col>22</xdr:col>
      <xdr:colOff>518157</xdr:colOff>
      <xdr:row>19</xdr:row>
      <xdr:rowOff>30480</xdr:rowOff>
    </xdr:to>
    <xdr:sp macro="" textlink="">
      <xdr:nvSpPr>
        <xdr:cNvPr id="12" name="Rectangle: Rounded Corners 11">
          <a:extLst>
            <a:ext uri="{FF2B5EF4-FFF2-40B4-BE49-F238E27FC236}">
              <a16:creationId xmlns:a16="http://schemas.microsoft.com/office/drawing/2014/main" id="{6C25DCAF-F35A-051E-DE54-D1369FC78442}"/>
            </a:ext>
          </a:extLst>
        </xdr:cNvPr>
        <xdr:cNvSpPr/>
      </xdr:nvSpPr>
      <xdr:spPr>
        <a:xfrm rot="5400000">
          <a:off x="12621758" y="2197601"/>
          <a:ext cx="2026917" cy="588281"/>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lIns="91440" rtlCol="0" anchor="ctr"/>
        <a:lstStyle/>
        <a:p>
          <a:pPr algn="ctr"/>
          <a:endParaRPr lang="en-US" sz="1100"/>
        </a:p>
      </xdr:txBody>
    </xdr:sp>
    <xdr:clientData/>
  </xdr:twoCellAnchor>
  <xdr:twoCellAnchor>
    <xdr:from>
      <xdr:col>22</xdr:col>
      <xdr:colOff>16585</xdr:colOff>
      <xdr:row>20</xdr:row>
      <xdr:rowOff>45720</xdr:rowOff>
    </xdr:from>
    <xdr:to>
      <xdr:col>22</xdr:col>
      <xdr:colOff>348280</xdr:colOff>
      <xdr:row>34</xdr:row>
      <xdr:rowOff>27343</xdr:rowOff>
    </xdr:to>
    <xdr:sp macro="" textlink="">
      <xdr:nvSpPr>
        <xdr:cNvPr id="13" name="TextBox 12">
          <a:extLst>
            <a:ext uri="{FF2B5EF4-FFF2-40B4-BE49-F238E27FC236}">
              <a16:creationId xmlns:a16="http://schemas.microsoft.com/office/drawing/2014/main" id="{340635D1-71D2-6A94-9437-B6D3782FBEF0}"/>
            </a:ext>
          </a:extLst>
        </xdr:cNvPr>
        <xdr:cNvSpPr txBox="1"/>
      </xdr:nvSpPr>
      <xdr:spPr>
        <a:xfrm>
          <a:off x="13427785" y="3703320"/>
          <a:ext cx="331695" cy="2541943"/>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pPr algn="l"/>
          <a:r>
            <a:rPr lang="en-US" sz="1400" b="1" i="0">
              <a:solidFill>
                <a:schemeClr val="bg1"/>
              </a:solidFill>
              <a:effectLst/>
              <a:latin typeface="+mn-lt"/>
              <a:ea typeface="+mn-ea"/>
              <a:cs typeface="+mn-cs"/>
            </a:rPr>
            <a:t>The author with the most reviews</a:t>
          </a:r>
        </a:p>
        <a:p>
          <a:br>
            <a:rPr lang="en-US" sz="1200" b="1" i="0">
              <a:solidFill>
                <a:schemeClr val="dk1"/>
              </a:solidFill>
              <a:effectLst/>
              <a:latin typeface="+mn-lt"/>
              <a:ea typeface="+mn-ea"/>
              <a:cs typeface="+mn-cs"/>
            </a:rPr>
          </a:br>
          <a:endParaRPr lang="en-US" sz="1200" b="1"/>
        </a:p>
      </xdr:txBody>
    </xdr:sp>
    <xdr:clientData/>
  </xdr:twoCellAnchor>
  <xdr:twoCellAnchor editAs="absolute">
    <xdr:from>
      <xdr:col>21</xdr:col>
      <xdr:colOff>586740</xdr:colOff>
      <xdr:row>8</xdr:row>
      <xdr:rowOff>99060</xdr:rowOff>
    </xdr:from>
    <xdr:to>
      <xdr:col>22</xdr:col>
      <xdr:colOff>358140</xdr:colOff>
      <xdr:row>18</xdr:row>
      <xdr:rowOff>121920</xdr:rowOff>
    </xdr:to>
    <xdr:sp macro="" textlink="Answers!K28">
      <xdr:nvSpPr>
        <xdr:cNvPr id="14" name="TextBox 13">
          <a:extLst>
            <a:ext uri="{FF2B5EF4-FFF2-40B4-BE49-F238E27FC236}">
              <a16:creationId xmlns:a16="http://schemas.microsoft.com/office/drawing/2014/main" id="{099E2AC8-58F9-FA44-53F1-8C00C97615BA}"/>
            </a:ext>
          </a:extLst>
        </xdr:cNvPr>
        <xdr:cNvSpPr txBox="1"/>
      </xdr:nvSpPr>
      <xdr:spPr>
        <a:xfrm>
          <a:off x="13388340" y="1562100"/>
          <a:ext cx="381000" cy="185166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fld id="{F546F80F-2650-44B2-9E11-74CC9004BBC8}" type="TxLink">
            <a:rPr lang="en-US" sz="1200" b="1" i="0" u="none" strike="noStrike">
              <a:solidFill>
                <a:schemeClr val="bg1"/>
              </a:solidFill>
              <a:latin typeface="Aptos Narrow"/>
            </a:rPr>
            <a:pPr/>
            <a:t>Suzanne Collins has 278329</a:t>
          </a:fld>
          <a:endParaRPr lang="en-US" sz="1200" b="1">
            <a:solidFill>
              <a:schemeClr val="bg1"/>
            </a:solidFill>
          </a:endParaRPr>
        </a:p>
      </xdr:txBody>
    </xdr:sp>
    <xdr:clientData/>
  </xdr:twoCellAnchor>
  <xdr:twoCellAnchor editAs="absolute">
    <xdr:from>
      <xdr:col>23</xdr:col>
      <xdr:colOff>114300</xdr:colOff>
      <xdr:row>20</xdr:row>
      <xdr:rowOff>45720</xdr:rowOff>
    </xdr:from>
    <xdr:to>
      <xdr:col>23</xdr:col>
      <xdr:colOff>510540</xdr:colOff>
      <xdr:row>34</xdr:row>
      <xdr:rowOff>15240</xdr:rowOff>
    </xdr:to>
    <xdr:sp macro="" textlink="">
      <xdr:nvSpPr>
        <xdr:cNvPr id="15" name="TextBox 14">
          <a:extLst>
            <a:ext uri="{FF2B5EF4-FFF2-40B4-BE49-F238E27FC236}">
              <a16:creationId xmlns:a16="http://schemas.microsoft.com/office/drawing/2014/main" id="{45DE9C6B-71EE-93D0-19ED-4737F3F332D8}"/>
            </a:ext>
          </a:extLst>
        </xdr:cNvPr>
        <xdr:cNvSpPr txBox="1"/>
      </xdr:nvSpPr>
      <xdr:spPr>
        <a:xfrm>
          <a:off x="14135100" y="3703320"/>
          <a:ext cx="396240" cy="252984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US" sz="1400" b="1" i="0">
              <a:solidFill>
                <a:schemeClr val="bg1"/>
              </a:solidFill>
              <a:effectLst/>
              <a:latin typeface="+mn-lt"/>
              <a:ea typeface="+mn-ea"/>
              <a:cs typeface="+mn-cs"/>
            </a:rPr>
            <a:t>The story with the most reviews</a:t>
          </a:r>
        </a:p>
        <a:p>
          <a:br>
            <a:rPr lang="en-US" sz="1100" b="0" i="0">
              <a:solidFill>
                <a:schemeClr val="dk1"/>
              </a:solidFill>
              <a:effectLst/>
              <a:latin typeface="+mn-lt"/>
              <a:ea typeface="+mn-ea"/>
              <a:cs typeface="+mn-cs"/>
            </a:rPr>
          </a:br>
          <a:endParaRPr lang="en-US" sz="1100"/>
        </a:p>
      </xdr:txBody>
    </xdr:sp>
    <xdr:clientData/>
  </xdr:twoCellAnchor>
  <xdr:twoCellAnchor editAs="absolute">
    <xdr:from>
      <xdr:col>23</xdr:col>
      <xdr:colOff>83820</xdr:colOff>
      <xdr:row>8</xdr:row>
      <xdr:rowOff>30480</xdr:rowOff>
    </xdr:from>
    <xdr:to>
      <xdr:col>24</xdr:col>
      <xdr:colOff>45720</xdr:colOff>
      <xdr:row>18</xdr:row>
      <xdr:rowOff>144780</xdr:rowOff>
    </xdr:to>
    <xdr:sp macro="" textlink="Answers!K24">
      <xdr:nvSpPr>
        <xdr:cNvPr id="16" name="TextBox 15">
          <a:extLst>
            <a:ext uri="{FF2B5EF4-FFF2-40B4-BE49-F238E27FC236}">
              <a16:creationId xmlns:a16="http://schemas.microsoft.com/office/drawing/2014/main" id="{20E16B64-F38D-5760-2EDE-6FA7AEBBDD04}"/>
            </a:ext>
          </a:extLst>
        </xdr:cNvPr>
        <xdr:cNvSpPr txBox="1"/>
      </xdr:nvSpPr>
      <xdr:spPr>
        <a:xfrm>
          <a:off x="14104620" y="1493520"/>
          <a:ext cx="571500" cy="194310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fld id="{9B03D876-7F25-4923-87CD-CA4982580427}" type="TxLink">
            <a:rPr lang="en-US" sz="1200" b="1" i="0" u="none" strike="noStrike">
              <a:solidFill>
                <a:schemeClr val="bg1"/>
              </a:solidFill>
              <a:effectLst/>
              <a:latin typeface="Aptos Narrow"/>
              <a:ea typeface="+mn-ea"/>
              <a:cs typeface="+mn-cs"/>
            </a:rPr>
            <a:pPr/>
            <a:t>Where the Crawdads Sing Got 88 k comments </a:t>
          </a:fld>
          <a:endParaRPr lang="en-US" sz="1200">
            <a:solidFill>
              <a:schemeClr val="bg1"/>
            </a:solidFill>
          </a:endParaRPr>
        </a:p>
      </xdr:txBody>
    </xdr:sp>
    <xdr:clientData/>
  </xdr:twoCellAnchor>
  <xdr:twoCellAnchor editAs="absolute">
    <xdr:from>
      <xdr:col>0</xdr:col>
      <xdr:colOff>213360</xdr:colOff>
      <xdr:row>20</xdr:row>
      <xdr:rowOff>137161</xdr:rowOff>
    </xdr:from>
    <xdr:to>
      <xdr:col>2</xdr:col>
      <xdr:colOff>411480</xdr:colOff>
      <xdr:row>26</xdr:row>
      <xdr:rowOff>76200</xdr:rowOff>
    </xdr:to>
    <mc:AlternateContent xmlns:mc="http://schemas.openxmlformats.org/markup-compatibility/2006" xmlns:a14="http://schemas.microsoft.com/office/drawing/2010/main">
      <mc:Choice Requires="a14">
        <xdr:graphicFrame macro="">
          <xdr:nvGraphicFramePr>
            <xdr:cNvPr id="18" name="Genre">
              <a:extLst>
                <a:ext uri="{FF2B5EF4-FFF2-40B4-BE49-F238E27FC236}">
                  <a16:creationId xmlns:a16="http://schemas.microsoft.com/office/drawing/2014/main" id="{9C2E2821-AEFE-0E80-0E93-82242441EB5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13360" y="3723043"/>
              <a:ext cx="1417320" cy="1014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220980</xdr:colOff>
      <xdr:row>8</xdr:row>
      <xdr:rowOff>30479</xdr:rowOff>
    </xdr:from>
    <xdr:to>
      <xdr:col>2</xdr:col>
      <xdr:colOff>411480</xdr:colOff>
      <xdr:row>19</xdr:row>
      <xdr:rowOff>76200</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B0BBC513-66EA-9E10-9E2D-6B7A7752B9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980" y="1464832"/>
              <a:ext cx="1409700" cy="2017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83820</xdr:colOff>
      <xdr:row>27</xdr:row>
      <xdr:rowOff>91440</xdr:rowOff>
    </xdr:from>
    <xdr:to>
      <xdr:col>2</xdr:col>
      <xdr:colOff>594360</xdr:colOff>
      <xdr:row>35</xdr:row>
      <xdr:rowOff>83820</xdr:rowOff>
    </xdr:to>
    <xdr:sp macro="" textlink="">
      <xdr:nvSpPr>
        <xdr:cNvPr id="24" name="Rectangle: Rounded Corners 23">
          <a:extLst>
            <a:ext uri="{FF2B5EF4-FFF2-40B4-BE49-F238E27FC236}">
              <a16:creationId xmlns:a16="http://schemas.microsoft.com/office/drawing/2014/main" id="{73426960-9F3B-386F-57CE-2F84AFA3561E}"/>
            </a:ext>
          </a:extLst>
        </xdr:cNvPr>
        <xdr:cNvSpPr/>
      </xdr:nvSpPr>
      <xdr:spPr>
        <a:xfrm>
          <a:off x="83820" y="5029200"/>
          <a:ext cx="1729740" cy="145542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ysClr val="windowText" lastClr="000000"/>
            </a:solidFill>
            <a:latin typeface="+mn-lt"/>
            <a:ea typeface="+mn-ea"/>
            <a:cs typeface="+mn-cs"/>
          </a:endParaRPr>
        </a:p>
      </xdr:txBody>
    </xdr:sp>
    <xdr:clientData/>
  </xdr:twoCellAnchor>
  <xdr:twoCellAnchor editAs="absolute">
    <xdr:from>
      <xdr:col>0</xdr:col>
      <xdr:colOff>182880</xdr:colOff>
      <xdr:row>28</xdr:row>
      <xdr:rowOff>38101</xdr:rowOff>
    </xdr:from>
    <xdr:to>
      <xdr:col>2</xdr:col>
      <xdr:colOff>487680</xdr:colOff>
      <xdr:row>34</xdr:row>
      <xdr:rowOff>160020</xdr:rowOff>
    </xdr:to>
    <mc:AlternateContent xmlns:mc="http://schemas.openxmlformats.org/markup-compatibility/2006" xmlns:a14="http://schemas.microsoft.com/office/drawing/2010/main">
      <mc:Choice Requires="a14">
        <xdr:graphicFrame macro="">
          <xdr:nvGraphicFramePr>
            <xdr:cNvPr id="30" name="Author">
              <a:extLst>
                <a:ext uri="{FF2B5EF4-FFF2-40B4-BE49-F238E27FC236}">
                  <a16:creationId xmlns:a16="http://schemas.microsoft.com/office/drawing/2014/main" id="{BBEB8A33-B932-98DA-988A-584B2557B70A}"/>
                </a:ext>
              </a:extLst>
            </xdr:cNvPr>
            <xdr:cNvGraphicFramePr/>
          </xdr:nvGraphicFramePr>
          <xdr:xfrm>
            <a:off x="0" y="0"/>
            <a:ext cx="0" cy="0"/>
          </xdr:xfrm>
          <a:graphic>
            <a:graphicData uri="http://schemas.microsoft.com/office/drawing/2010/slicer">
              <sle:slicer xmlns:sle="http://schemas.microsoft.com/office/drawing/2010/slicer" name="Author"/>
            </a:graphicData>
          </a:graphic>
        </xdr:graphicFrame>
      </mc:Choice>
      <mc:Fallback xmlns="">
        <xdr:sp macro="" textlink="">
          <xdr:nvSpPr>
            <xdr:cNvPr id="0" name=""/>
            <xdr:cNvSpPr>
              <a:spLocks noTextEdit="1"/>
            </xdr:cNvSpPr>
          </xdr:nvSpPr>
          <xdr:spPr>
            <a:xfrm>
              <a:off x="182880" y="5058336"/>
              <a:ext cx="1524000" cy="1197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0.68963</cdr:x>
      <cdr:y>0.07196</cdr:y>
    </cdr:from>
    <cdr:to>
      <cdr:x>0.96991</cdr:x>
      <cdr:y>0.26055</cdr:y>
    </cdr:to>
    <cdr:sp macro="" textlink="">
      <cdr:nvSpPr>
        <cdr:cNvPr id="2" name="TextBox 1">
          <a:extLst xmlns:a="http://schemas.openxmlformats.org/drawingml/2006/main">
            <a:ext uri="{FF2B5EF4-FFF2-40B4-BE49-F238E27FC236}">
              <a16:creationId xmlns:a16="http://schemas.microsoft.com/office/drawing/2014/main" id="{A87B92E2-C72A-6F51-E508-71DE3246AFE2}"/>
            </a:ext>
          </a:extLst>
        </cdr:cNvPr>
        <cdr:cNvSpPr txBox="1"/>
      </cdr:nvSpPr>
      <cdr:spPr>
        <a:xfrm xmlns:a="http://schemas.openxmlformats.org/drawingml/2006/main">
          <a:off x="2885661" y="192158"/>
          <a:ext cx="1172817" cy="503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0.71021</cdr:x>
      <cdr:y>0.0794</cdr:y>
    </cdr:from>
    <cdr:to>
      <cdr:x>0.97783</cdr:x>
      <cdr:y>0.36973</cdr:y>
    </cdr:to>
    <cdr:sp macro="" textlink="">
      <cdr:nvSpPr>
        <cdr:cNvPr id="3" name="TextBox 2">
          <a:extLst xmlns:a="http://schemas.openxmlformats.org/drawingml/2006/main">
            <a:ext uri="{FF2B5EF4-FFF2-40B4-BE49-F238E27FC236}">
              <a16:creationId xmlns:a16="http://schemas.microsoft.com/office/drawing/2014/main" id="{5FCF411D-C574-D03B-9ECA-0DA8DA2B103A}"/>
            </a:ext>
          </a:extLst>
        </cdr:cNvPr>
        <cdr:cNvSpPr txBox="1"/>
      </cdr:nvSpPr>
      <cdr:spPr>
        <a:xfrm xmlns:a="http://schemas.openxmlformats.org/drawingml/2006/main">
          <a:off x="2971784" y="221703"/>
          <a:ext cx="1119822" cy="8106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050" b="1" kern="1200"/>
            <a:t>Average( User Rating, price) per year</a:t>
          </a:r>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106017</xdr:colOff>
      <xdr:row>1</xdr:row>
      <xdr:rowOff>125565</xdr:rowOff>
    </xdr:from>
    <xdr:to>
      <xdr:col>13</xdr:col>
      <xdr:colOff>598335</xdr:colOff>
      <xdr:row>4</xdr:row>
      <xdr:rowOff>165652</xdr:rowOff>
    </xdr:to>
    <xdr:sp macro="" textlink="">
      <xdr:nvSpPr>
        <xdr:cNvPr id="2" name="Oval 1">
          <a:extLst>
            <a:ext uri="{FF2B5EF4-FFF2-40B4-BE49-F238E27FC236}">
              <a16:creationId xmlns:a16="http://schemas.microsoft.com/office/drawing/2014/main" id="{6E6A7F22-0D04-2670-F756-54E4CD92006D}"/>
            </a:ext>
          </a:extLst>
        </xdr:cNvPr>
        <xdr:cNvSpPr/>
      </xdr:nvSpPr>
      <xdr:spPr>
        <a:xfrm>
          <a:off x="2544417" y="311095"/>
          <a:ext cx="5978718" cy="596679"/>
        </a:xfrm>
        <a:prstGeom prst="ellipse">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EE0000"/>
            </a:solidFill>
          </a:endParaRPr>
        </a:p>
      </xdr:txBody>
    </xdr:sp>
    <xdr:clientData/>
  </xdr:twoCellAnchor>
  <xdr:twoCellAnchor>
    <xdr:from>
      <xdr:col>6</xdr:col>
      <xdr:colOff>477079</xdr:colOff>
      <xdr:row>2</xdr:row>
      <xdr:rowOff>53009</xdr:rowOff>
    </xdr:from>
    <xdr:to>
      <xdr:col>10</xdr:col>
      <xdr:colOff>569844</xdr:colOff>
      <xdr:row>4</xdr:row>
      <xdr:rowOff>19878</xdr:rowOff>
    </xdr:to>
    <xdr:sp macro="" textlink="">
      <xdr:nvSpPr>
        <xdr:cNvPr id="3" name="TextBox 2">
          <a:extLst>
            <a:ext uri="{FF2B5EF4-FFF2-40B4-BE49-F238E27FC236}">
              <a16:creationId xmlns:a16="http://schemas.microsoft.com/office/drawing/2014/main" id="{C5C75855-A4AB-8E5E-5E5C-D61A983ACFE7}"/>
            </a:ext>
          </a:extLst>
        </xdr:cNvPr>
        <xdr:cNvSpPr txBox="1"/>
      </xdr:nvSpPr>
      <xdr:spPr>
        <a:xfrm>
          <a:off x="4134679" y="424070"/>
          <a:ext cx="2531165" cy="337930"/>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Insights</a:t>
          </a:r>
        </a:p>
      </xdr:txBody>
    </xdr:sp>
    <xdr:clientData/>
  </xdr:twoCellAnchor>
  <xdr:twoCellAnchor>
    <xdr:from>
      <xdr:col>4</xdr:col>
      <xdr:colOff>417444</xdr:colOff>
      <xdr:row>5</xdr:row>
      <xdr:rowOff>139148</xdr:rowOff>
    </xdr:from>
    <xdr:to>
      <xdr:col>13</xdr:col>
      <xdr:colOff>450574</xdr:colOff>
      <xdr:row>10</xdr:row>
      <xdr:rowOff>178905</xdr:rowOff>
    </xdr:to>
    <xdr:sp macro="" textlink="">
      <xdr:nvSpPr>
        <xdr:cNvPr id="5" name="Rectangle: Rounded Corners 4">
          <a:extLst>
            <a:ext uri="{FF2B5EF4-FFF2-40B4-BE49-F238E27FC236}">
              <a16:creationId xmlns:a16="http://schemas.microsoft.com/office/drawing/2014/main" id="{1FF31ADC-69B7-BF0E-4CF7-52414074AA9B}"/>
            </a:ext>
          </a:extLst>
        </xdr:cNvPr>
        <xdr:cNvSpPr/>
      </xdr:nvSpPr>
      <xdr:spPr>
        <a:xfrm>
          <a:off x="2855844" y="1066800"/>
          <a:ext cx="5519530" cy="967409"/>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Fiction books influence readers more than </a:t>
          </a:r>
          <a:r>
            <a:rPr lang="en-US" sz="1100">
              <a:solidFill>
                <a:schemeClr val="lt1"/>
              </a:solidFill>
              <a:effectLst/>
              <a:latin typeface="+mn-lt"/>
              <a:ea typeface="+mn-ea"/>
              <a:cs typeface="+mn-cs"/>
            </a:rPr>
            <a:t>non-fiction</a:t>
          </a:r>
          <a:r>
            <a:rPr lang="en-US"/>
            <a:t> books because the number of reviews for fiction books is 900,000 more than reviews for non-fiction books, even though the number of non-fiction books is 70 more books.</a:t>
          </a:r>
          <a:endParaRPr lang="en-US" sz="1100"/>
        </a:p>
      </xdr:txBody>
    </xdr:sp>
    <xdr:clientData/>
  </xdr:twoCellAnchor>
  <xdr:twoCellAnchor>
    <xdr:from>
      <xdr:col>4</xdr:col>
      <xdr:colOff>397566</xdr:colOff>
      <xdr:row>11</xdr:row>
      <xdr:rowOff>172279</xdr:rowOff>
    </xdr:from>
    <xdr:to>
      <xdr:col>13</xdr:col>
      <xdr:colOff>430696</xdr:colOff>
      <xdr:row>17</xdr:row>
      <xdr:rowOff>26506</xdr:rowOff>
    </xdr:to>
    <xdr:sp macro="" textlink="">
      <xdr:nvSpPr>
        <xdr:cNvPr id="6" name="Rectangle: Rounded Corners 5">
          <a:extLst>
            <a:ext uri="{FF2B5EF4-FFF2-40B4-BE49-F238E27FC236}">
              <a16:creationId xmlns:a16="http://schemas.microsoft.com/office/drawing/2014/main" id="{BDDAB1A6-C5D5-B60E-090F-9B008DC1067A}"/>
            </a:ext>
          </a:extLst>
        </xdr:cNvPr>
        <xdr:cNvSpPr/>
      </xdr:nvSpPr>
      <xdr:spPr>
        <a:xfrm>
          <a:off x="2835966" y="2213114"/>
          <a:ext cx="5519530" cy="967409"/>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The price of the book is influential. In 2011, the average price of a book was $15.30. The number of reviews was 405k, which was low, and the rating was fairly good. This is influential. In 2015, 2018, and 2019, the average price of a book ranged between $8 and $10. The number of reviews increased in these years to 795k </a:t>
          </a:r>
          <a:r>
            <a:rPr lang="en-US" sz="1100">
              <a:solidFill>
                <a:schemeClr val="lt1"/>
              </a:solidFill>
              <a:effectLst/>
              <a:latin typeface="+mn-lt"/>
              <a:ea typeface="+mn-ea"/>
              <a:cs typeface="+mn-cs"/>
            </a:rPr>
            <a:t>reviews</a:t>
          </a:r>
          <a:r>
            <a:rPr lang="en-US"/>
            <a:t>, and the rating ranged between 4.7 and 4.8 .</a:t>
          </a:r>
          <a:endParaRPr lang="en-US" sz="1100"/>
        </a:p>
      </xdr:txBody>
    </xdr:sp>
    <xdr:clientData/>
  </xdr:twoCellAnchor>
  <xdr:twoCellAnchor>
    <xdr:from>
      <xdr:col>4</xdr:col>
      <xdr:colOff>371060</xdr:colOff>
      <xdr:row>18</xdr:row>
      <xdr:rowOff>79516</xdr:rowOff>
    </xdr:from>
    <xdr:to>
      <xdr:col>13</xdr:col>
      <xdr:colOff>437321</xdr:colOff>
      <xdr:row>24</xdr:row>
      <xdr:rowOff>19881</xdr:rowOff>
    </xdr:to>
    <xdr:sp macro="" textlink="">
      <xdr:nvSpPr>
        <xdr:cNvPr id="7" name="Rectangle: Rounded Corners 6">
          <a:extLst>
            <a:ext uri="{FF2B5EF4-FFF2-40B4-BE49-F238E27FC236}">
              <a16:creationId xmlns:a16="http://schemas.microsoft.com/office/drawing/2014/main" id="{C191A42B-519A-29C7-2BDB-0C6D42CDEC5A}"/>
            </a:ext>
          </a:extLst>
        </xdr:cNvPr>
        <xdr:cNvSpPr/>
      </xdr:nvSpPr>
      <xdr:spPr>
        <a:xfrm>
          <a:off x="2809460" y="3419064"/>
          <a:ext cx="5552661" cy="1053547"/>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Some authors who have great fame in the world of books may have a role in attracting the attention of readers, such as the author: Suzanne Collins, whose fiction books received 278k reviews and a rating of 4.7. This is evidence that the fiction books received a greater number of reviews, and the average price of his books was between 11 and 14 dollars. This also indicates that his fame was the reason.</a:t>
          </a:r>
          <a:endParaRPr lang="en-US" sz="1100"/>
        </a:p>
      </xdr:txBody>
    </xdr:sp>
    <xdr:clientData/>
  </xdr:twoCellAnchor>
  <xdr:twoCellAnchor>
    <xdr:from>
      <xdr:col>4</xdr:col>
      <xdr:colOff>357808</xdr:colOff>
      <xdr:row>24</xdr:row>
      <xdr:rowOff>178907</xdr:rowOff>
    </xdr:from>
    <xdr:to>
      <xdr:col>13</xdr:col>
      <xdr:colOff>424069</xdr:colOff>
      <xdr:row>32</xdr:row>
      <xdr:rowOff>92765</xdr:rowOff>
    </xdr:to>
    <xdr:sp macro="" textlink="">
      <xdr:nvSpPr>
        <xdr:cNvPr id="8" name="Rectangle: Rounded Corners 7">
          <a:extLst>
            <a:ext uri="{FF2B5EF4-FFF2-40B4-BE49-F238E27FC236}">
              <a16:creationId xmlns:a16="http://schemas.microsoft.com/office/drawing/2014/main" id="{17F44C96-AAF2-3896-2125-072B41D976B8}"/>
            </a:ext>
          </a:extLst>
        </xdr:cNvPr>
        <xdr:cNvSpPr/>
      </xdr:nvSpPr>
      <xdr:spPr>
        <a:xfrm>
          <a:off x="2796208" y="4631637"/>
          <a:ext cx="5552661" cy="1398102"/>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My Insights for this knowledge : </a:t>
          </a:r>
        </a:p>
        <a:p>
          <a:r>
            <a:rPr lang="en-US" sz="1200" b="1"/>
            <a:t>1- </a:t>
          </a:r>
          <a:r>
            <a:rPr lang="en-US" sz="1100" b="0" i="0">
              <a:solidFill>
                <a:schemeClr val="lt1"/>
              </a:solidFill>
              <a:effectLst/>
              <a:latin typeface="+mn-lt"/>
              <a:ea typeface="+mn-ea"/>
              <a:cs typeface="+mn-cs"/>
            </a:rPr>
            <a:t>Increase the number of fiction books</a:t>
          </a:r>
        </a:p>
        <a:p>
          <a:r>
            <a:rPr lang="en-US" sz="1100" b="0" i="0">
              <a:solidFill>
                <a:schemeClr val="lt1"/>
              </a:solidFill>
              <a:effectLst/>
              <a:latin typeface="+mn-lt"/>
              <a:ea typeface="+mn-ea"/>
              <a:cs typeface="+mn-cs"/>
            </a:rPr>
            <a:t>2- </a:t>
          </a:r>
          <a:r>
            <a:rPr lang="en-US"/>
            <a:t>Interest in books whose authors are very popular</a:t>
          </a:r>
          <a:endParaRPr lang="ar-EG"/>
        </a:p>
        <a:p>
          <a:r>
            <a:rPr lang="en-US" sz="1100" b="0" i="0">
              <a:solidFill>
                <a:schemeClr val="lt1"/>
              </a:solidFill>
              <a:effectLst/>
              <a:latin typeface="+mn-lt"/>
              <a:ea typeface="+mn-ea"/>
              <a:cs typeface="+mn-cs"/>
            </a:rPr>
            <a:t>3-</a:t>
          </a:r>
          <a:r>
            <a:rPr lang="en-US" sz="1100" b="0" i="0" baseline="0">
              <a:solidFill>
                <a:schemeClr val="lt1"/>
              </a:solidFill>
              <a:effectLst/>
              <a:latin typeface="+mn-lt"/>
              <a:ea typeface="+mn-ea"/>
              <a:cs typeface="+mn-cs"/>
            </a:rPr>
            <a:t> </a:t>
          </a:r>
          <a:r>
            <a:rPr lang="en-US"/>
            <a:t>Pay attention to prices, especially for some books that did not receive a high rating</a:t>
          </a:r>
          <a:endParaRPr lang="ar-EG"/>
        </a:p>
        <a:p>
          <a:r>
            <a:rPr lang="en-US" sz="1100" b="0" i="0">
              <a:solidFill>
                <a:schemeClr val="lt1"/>
              </a:solidFill>
              <a:effectLst/>
              <a:latin typeface="+mn-lt"/>
              <a:ea typeface="+mn-ea"/>
              <a:cs typeface="+mn-cs"/>
            </a:rPr>
            <a:t>4- </a:t>
          </a:r>
          <a:r>
            <a:rPr lang="en-US" sz="1200"/>
            <a:t>Books that have received fewer reviews and ratings need a good marketing plan.</a:t>
          </a:r>
          <a:endParaRPr lang="en-US" sz="12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21207627315" backgroundQuery="1" createdVersion="8" refreshedVersion="8" minRefreshableVersion="3" recordCount="0" supportSubquery="1" supportAdvancedDrill="1" xr:uid="{09C25521-BEC7-4708-B1AC-ACAC3058748E}">
  <cacheSource type="external" connectionId="1"/>
  <cacheFields count="5">
    <cacheField name="[Books].[Year].[Year]" caption="Year" numFmtId="0" hierarchy="5" level="1">
      <sharedItems containsSemiMixedTypes="0" containsString="0" containsNumber="1" containsInteger="1" minValue="2009" maxValue="2019" count="11">
        <n v="2009"/>
        <n v="2010"/>
        <n v="2011"/>
        <n v="2012"/>
        <n v="2013"/>
        <n v="2014"/>
        <n v="2015"/>
        <n v="2016"/>
        <n v="2017"/>
        <n v="2018"/>
        <n v="2019"/>
      </sharedItems>
      <extLst>
        <ext xmlns:x15="http://schemas.microsoft.com/office/spreadsheetml/2010/11/main" uri="{4F2E5C28-24EA-4eb8-9CBF-B6C8F9C3D259}">
          <x15:cachedUniqueNames>
            <x15:cachedUniqueName index="0" name="[Books].[Year].&amp;[2009]"/>
            <x15:cachedUniqueName index="1" name="[Books].[Year].&amp;[2010]"/>
            <x15:cachedUniqueName index="2" name="[Books].[Year].&amp;[2011]"/>
            <x15:cachedUniqueName index="3" name="[Books].[Year].&amp;[2012]"/>
            <x15:cachedUniqueName index="4" name="[Books].[Year].&amp;[2013]"/>
            <x15:cachedUniqueName index="5" name="[Books].[Year].&amp;[2014]"/>
            <x15:cachedUniqueName index="6" name="[Books].[Year].&amp;[2015]"/>
            <x15:cachedUniqueName index="7" name="[Books].[Year].&amp;[2016]"/>
            <x15:cachedUniqueName index="8" name="[Books].[Year].&amp;[2017]"/>
            <x15:cachedUniqueName index="9" name="[Books].[Year].&amp;[2018]"/>
            <x15:cachedUniqueName index="10" name="[Books].[Year].&amp;[2019]"/>
          </x15:cachedUniqueNames>
        </ext>
      </extLst>
    </cacheField>
    <cacheField name="[Measures].[Average of User Rating]" caption="Average of User Rating" numFmtId="0" hierarchy="11" level="32767"/>
    <cacheField name="[Measures].[Average of Price]" caption="Average of Price" numFmtId="0" hierarchy="14" level="32767"/>
    <cacheField name="[Books].[Name].[Name]" caption="Name" numFmtId="0" level="1">
      <sharedItems containsSemiMixedTypes="0" containsNonDate="0" containsString="0"/>
    </cacheField>
    <cacheField name="[Books].[Author].[Author]" caption="Author" numFmtId="0" hierarchy="1" level="1">
      <sharedItems containsSemiMixedTypes="0" containsNonDate="0" containsString="0"/>
    </cacheField>
  </cacheFields>
  <cacheHierarchies count="17">
    <cacheHierarchy uniqueName="[Books].[Name]" caption="Name" attribute="1" defaultMemberUniqueName="[Books].[Name].[All]" allUniqueName="[Books].[Name].[All]" dimensionUniqueName="[Books]" displayFolder="" count="2" memberValueDatatype="130" unbalanced="0">
      <fieldsUsage count="2">
        <fieldUsage x="-1"/>
        <fieldUsage x="3"/>
      </fieldsUsage>
    </cacheHierarchy>
    <cacheHierarchy uniqueName="[Books].[Author]" caption="Author" attribute="1" defaultMemberUniqueName="[Books].[Author].[All]" allUniqueName="[Books].[Author].[All]" dimensionUniqueName="[Books]" displayFolder="" count="2" memberValueDatatype="130" unbalanced="0">
      <fieldsUsage count="2">
        <fieldUsage x="-1"/>
        <fieldUsage x="4"/>
      </fieldsUsage>
    </cacheHierarchy>
    <cacheHierarchy uniqueName="[Books].[User Rating]" caption="User Rating" attribute="1" defaultMemberUniqueName="[Books].[User Rating].[All]" allUniqueName="[Books].[User Rating].[All]" dimensionUniqueName="[Books]" displayFolder="" count="2" memberValueDatatype="5" unbalanced="0"/>
    <cacheHierarchy uniqueName="[Books].[Reviews]" caption="Reviews" attribute="1" defaultMemberUniqueName="[Books].[Reviews].[All]" allUniqueName="[Books].[Reviews].[All]" dimensionUniqueName="[Books]" displayFolder="" count="2" memberValueDatatype="20" unbalanced="0"/>
    <cacheHierarchy uniqueName="[Books].[Price]" caption="Price" attribute="1" defaultMemberUniqueName="[Books].[Price].[All]" allUniqueName="[Books].[Price].[All]" dimensionUniqueName="[Books]" displayFolder="" count="2" memberValueDatatype="20" unbalanced="0"/>
    <cacheHierarchy uniqueName="[Books].[Year]" caption="Year" attribute="1" defaultMemberUniqueName="[Books].[Year].[All]" allUniqueName="[Books].[Year].[All]" dimensionUniqueName="[Books]" displayFolder="" count="2" memberValueDatatype="20" unbalanced="0">
      <fieldsUsage count="2">
        <fieldUsage x="-1"/>
        <fieldUsage x="0"/>
      </fieldsUsage>
    </cacheHierarchy>
    <cacheHierarchy uniqueName="[Books].[Genre]" caption="Genre" attribute="1" defaultMemberUniqueName="[Books].[Genre].[All]" allUniqueName="[Books].[Genre].[All]" dimensionUniqueName="[Books]" displayFolder="" count="2" memberValueDatatype="130" unbalanced="0"/>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2.158381018518" backgroundQuery="1" createdVersion="8" refreshedVersion="8" minRefreshableVersion="3" recordCount="0" supportSubquery="1" supportAdvancedDrill="1" xr:uid="{0608F327-3425-4E23-A114-58FCEA0D3094}">
  <cacheSource type="external" connectionId="1"/>
  <cacheFields count="2">
    <cacheField name="[Books].[Genre].[Genre]" caption="Genre" numFmtId="0" hierarchy="6" level="1">
      <sharedItems count="2">
        <s v="Fiction"/>
        <s v="Non Fiction"/>
      </sharedItems>
    </cacheField>
    <cacheField name="[Measures].[Average of User Rating]" caption="Average of User Rating" numFmtId="0" hierarchy="11" level="32767"/>
  </cacheFields>
  <cacheHierarchies count="17">
    <cacheHierarchy uniqueName="[Books].[Name]" caption="Name" attribute="1" defaultMemberUniqueName="[Books].[Name].[All]" allUniqueName="[Books].[Name].[All]" dimensionUniqueName="[Books]" displayFolder="" count="0" memberValueDatatype="130" unbalanced="0"/>
    <cacheHierarchy uniqueName="[Books].[Author]" caption="Author" attribute="1" defaultMemberUniqueName="[Books].[Author].[All]" allUniqueName="[Books].[Author].[All]" dimensionUniqueName="[Books]" displayFolder="" count="0" memberValueDatatype="130" unbalanced="0"/>
    <cacheHierarchy uniqueName="[Books].[User Rating]" caption="User Rating" attribute="1" defaultMemberUniqueName="[Books].[User Rating].[All]" allUniqueName="[Books].[User Rating].[All]" dimensionUniqueName="[Books]" displayFolder="" count="0" memberValueDatatype="5" unbalanced="0"/>
    <cacheHierarchy uniqueName="[Books].[Reviews]" caption="Reviews" attribute="1" defaultMemberUniqueName="[Books].[Reviews].[All]" allUniqueName="[Books].[Reviews].[All]" dimensionUniqueName="[Books]" displayFolder="" count="0" memberValueDatatype="20" unbalanced="0"/>
    <cacheHierarchy uniqueName="[Books].[Price]" caption="Price" attribute="1" defaultMemberUniqueName="[Books].[Price].[All]" allUniqueName="[Books].[Price].[All]" dimensionUniqueName="[Books]" displayFolder="" count="0" memberValueDatatype="20" unbalanced="0"/>
    <cacheHierarchy uniqueName="[Books].[Year]" caption="Year" attribute="1" defaultMemberUniqueName="[Books].[Year].[All]" allUniqueName="[Books].[Year].[All]" dimensionUniqueName="[Books]" displayFolder="" count="0" memberValueDatatype="20" unbalanced="0"/>
    <cacheHierarchy uniqueName="[Books].[Genre]" caption="Genre" attribute="1" defaultMemberUniqueName="[Books].[Genre].[All]" allUniqueName="[Books].[Genre].[All]" dimensionUniqueName="[Books]" displayFolder="" count="2" memberValueDatatype="130" unbalanced="0">
      <fieldsUsage count="2">
        <fieldUsage x="-1"/>
        <fieldUsage x="0"/>
      </fieldsUsage>
    </cacheHierarchy>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212077662036" backgroundQuery="1" createdVersion="8" refreshedVersion="8" minRefreshableVersion="3" recordCount="0" supportSubquery="1" supportAdvancedDrill="1" xr:uid="{84C7C577-FC0C-4951-B8FB-DE029B5A1FF7}">
  <cacheSource type="external" connectionId="1"/>
  <cacheFields count="4">
    <cacheField name="[Books].[Genre].[Genre]" caption="Genre" numFmtId="0" hierarchy="6" level="1">
      <sharedItems count="2">
        <s v="Fiction"/>
        <s v="Non Fiction"/>
      </sharedItems>
    </cacheField>
    <cacheField name="[Measures].[Sum of Reviews]" caption="Sum of Reviews" numFmtId="0" hierarchy="12" level="32767"/>
    <cacheField name="[Books].[Name].[Name]" caption="Name" numFmtId="0" level="1">
      <sharedItems containsSemiMixedTypes="0" containsNonDate="0" containsString="0"/>
    </cacheField>
    <cacheField name="[Books].[Author].[Author]" caption="Author" numFmtId="0" hierarchy="1" level="1">
      <sharedItems containsSemiMixedTypes="0" containsNonDate="0" containsString="0"/>
    </cacheField>
  </cacheFields>
  <cacheHierarchies count="17">
    <cacheHierarchy uniqueName="[Books].[Name]" caption="Name" attribute="1" defaultMemberUniqueName="[Books].[Name].[All]" allUniqueName="[Books].[Name].[All]" dimensionUniqueName="[Books]" displayFolder="" count="2" memberValueDatatype="130" unbalanced="0">
      <fieldsUsage count="2">
        <fieldUsage x="-1"/>
        <fieldUsage x="2"/>
      </fieldsUsage>
    </cacheHierarchy>
    <cacheHierarchy uniqueName="[Books].[Author]" caption="Author" attribute="1" defaultMemberUniqueName="[Books].[Author].[All]" allUniqueName="[Books].[Author].[All]" dimensionUniqueName="[Books]" displayFolder="" count="2" memberValueDatatype="130" unbalanced="0">
      <fieldsUsage count="2">
        <fieldUsage x="-1"/>
        <fieldUsage x="3"/>
      </fieldsUsage>
    </cacheHierarchy>
    <cacheHierarchy uniqueName="[Books].[User Rating]" caption="User Rating" attribute="1" defaultMemberUniqueName="[Books].[User Rating].[All]" allUniqueName="[Books].[User Rating].[All]" dimensionUniqueName="[Books]" displayFolder="" count="2" memberValueDatatype="5" unbalanced="0"/>
    <cacheHierarchy uniqueName="[Books].[Reviews]" caption="Reviews" attribute="1" defaultMemberUniqueName="[Books].[Reviews].[All]" allUniqueName="[Books].[Reviews].[All]" dimensionUniqueName="[Books]" displayFolder="" count="2" memberValueDatatype="20" unbalanced="0"/>
    <cacheHierarchy uniqueName="[Books].[Price]" caption="Price" attribute="1" defaultMemberUniqueName="[Books].[Price].[All]" allUniqueName="[Books].[Price].[All]" dimensionUniqueName="[Books]" displayFolder="" count="2" memberValueDatatype="20" unbalanced="0"/>
    <cacheHierarchy uniqueName="[Books].[Year]" caption="Year" attribute="1" defaultMemberUniqueName="[Books].[Year].[All]" allUniqueName="[Books].[Year].[All]" dimensionUniqueName="[Books]" displayFolder="" count="2" memberValueDatatype="20" unbalanced="0"/>
    <cacheHierarchy uniqueName="[Books].[Genre]" caption="Genre" attribute="1" defaultMemberUniqueName="[Books].[Genre].[All]" allUniqueName="[Books].[Genre].[All]" dimensionUniqueName="[Books]" displayFolder="" count="2" memberValueDatatype="130" unbalanced="0">
      <fieldsUsage count="2">
        <fieldUsage x="-1"/>
        <fieldUsage x="0"/>
      </fieldsUsage>
    </cacheHierarchy>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9.528567592592" backgroundQuery="1" createdVersion="8" refreshedVersion="8" minRefreshableVersion="3" recordCount="0" supportSubquery="1" supportAdvancedDrill="1" xr:uid="{D8AD6DA8-2A94-4308-BCDA-56E2E4D37253}">
  <cacheSource type="external" connectionId="1"/>
  <cacheFields count="4">
    <cacheField name="[Measures].[Sum of Reviews]" caption="Sum of Reviews" numFmtId="0" hierarchy="12" level="32767"/>
    <cacheField name="[Books].[Year].[Year]" caption="Year" numFmtId="0" hierarchy="5" level="1">
      <sharedItems containsSemiMixedTypes="0" containsString="0" containsNumber="1" containsInteger="1" minValue="2009" maxValue="2019" count="11">
        <n v="2009"/>
        <n v="2010"/>
        <n v="2011"/>
        <n v="2012"/>
        <n v="2013"/>
        <n v="2014"/>
        <n v="2015"/>
        <n v="2016"/>
        <n v="2017"/>
        <n v="2018"/>
        <n v="2019"/>
      </sharedItems>
      <extLst>
        <ext xmlns:x15="http://schemas.microsoft.com/office/spreadsheetml/2010/11/main" uri="{4F2E5C28-24EA-4eb8-9CBF-B6C8F9C3D259}">
          <x15:cachedUniqueNames>
            <x15:cachedUniqueName index="0" name="[Books].[Year].&amp;[2009]"/>
            <x15:cachedUniqueName index="1" name="[Books].[Year].&amp;[2010]"/>
            <x15:cachedUniqueName index="2" name="[Books].[Year].&amp;[2011]"/>
            <x15:cachedUniqueName index="3" name="[Books].[Year].&amp;[2012]"/>
            <x15:cachedUniqueName index="4" name="[Books].[Year].&amp;[2013]"/>
            <x15:cachedUniqueName index="5" name="[Books].[Year].&amp;[2014]"/>
            <x15:cachedUniqueName index="6" name="[Books].[Year].&amp;[2015]"/>
            <x15:cachedUniqueName index="7" name="[Books].[Year].&amp;[2016]"/>
            <x15:cachedUniqueName index="8" name="[Books].[Year].&amp;[2017]"/>
            <x15:cachedUniqueName index="9" name="[Books].[Year].&amp;[2018]"/>
            <x15:cachedUniqueName index="10" name="[Books].[Year].&amp;[2019]"/>
          </x15:cachedUniqueNames>
        </ext>
      </extLst>
    </cacheField>
    <cacheField name="[Books].[Genre].[Genre]" caption="Genre" numFmtId="0" hierarchy="6" level="1">
      <sharedItems count="2">
        <s v="Fiction"/>
        <s v="Non Fiction"/>
      </sharedItems>
    </cacheField>
    <cacheField name="[Measures].[Average of Price]" caption="Average of Price" numFmtId="0" hierarchy="14" level="32767"/>
  </cacheFields>
  <cacheHierarchies count="17">
    <cacheHierarchy uniqueName="[Books].[Name]" caption="Name" attribute="1" defaultMemberUniqueName="[Books].[Name].[All]" allUniqueName="[Books].[Name].[All]" dimensionUniqueName="[Books]" displayFolder="" count="0" memberValueDatatype="130" unbalanced="0"/>
    <cacheHierarchy uniqueName="[Books].[Author]" caption="Author" attribute="1" defaultMemberUniqueName="[Books].[Author].[All]" allUniqueName="[Books].[Author].[All]" dimensionUniqueName="[Books]" displayFolder="" count="0" memberValueDatatype="130" unbalanced="0"/>
    <cacheHierarchy uniqueName="[Books].[User Rating]" caption="User Rating" attribute="1" defaultMemberUniqueName="[Books].[User Rating].[All]" allUniqueName="[Books].[User Rating].[All]" dimensionUniqueName="[Books]" displayFolder="" count="0" memberValueDatatype="5" unbalanced="0"/>
    <cacheHierarchy uniqueName="[Books].[Reviews]" caption="Reviews" attribute="1" defaultMemberUniqueName="[Books].[Reviews].[All]" allUniqueName="[Books].[Reviews].[All]" dimensionUniqueName="[Books]" displayFolder="" count="0" memberValueDatatype="20" unbalanced="0"/>
    <cacheHierarchy uniqueName="[Books].[Price]" caption="Price" attribute="1" defaultMemberUniqueName="[Books].[Price].[All]" allUniqueName="[Books].[Price].[All]" dimensionUniqueName="[Books]" displayFolder="" count="0" memberValueDatatype="20" unbalanced="0"/>
    <cacheHierarchy uniqueName="[Books].[Year]" caption="Year" attribute="1" defaultMemberUniqueName="[Books].[Year].[All]" allUniqueName="[Books].[Year].[All]" dimensionUniqueName="[Books]" displayFolder="" count="2" memberValueDatatype="20" unbalanced="0">
      <fieldsUsage count="2">
        <fieldUsage x="-1"/>
        <fieldUsage x="1"/>
      </fieldsUsage>
    </cacheHierarchy>
    <cacheHierarchy uniqueName="[Books].[Genre]" caption="Genre" attribute="1" defaultMemberUniqueName="[Books].[Genre].[All]" allUniqueName="[Books].[Genre].[All]" dimensionUniqueName="[Books]" displayFolder="" count="2" memberValueDatatype="130" unbalanced="0">
      <fieldsUsage count="2">
        <fieldUsage x="-1"/>
        <fieldUsage x="2"/>
      </fieldsUsage>
    </cacheHierarchy>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212076967589" backgroundQuery="1" createdVersion="8" refreshedVersion="8" minRefreshableVersion="3" recordCount="0" supportSubquery="1" supportAdvancedDrill="1" xr:uid="{5A4AA4E4-9948-45C7-881E-1184B2A4E41C}">
  <cacheSource type="external" connectionId="1"/>
  <cacheFields count="4">
    <cacheField name="[Books].[Year].[Year]" caption="Year" numFmtId="0" hierarchy="5" level="1">
      <sharedItems containsSemiMixedTypes="0" containsString="0" containsNumber="1" containsInteger="1" minValue="2009" maxValue="2019" count="11">
        <n v="2009"/>
        <n v="2010"/>
        <n v="2011"/>
        <n v="2012"/>
        <n v="2013"/>
        <n v="2014"/>
        <n v="2015"/>
        <n v="2016"/>
        <n v="2017"/>
        <n v="2018"/>
        <n v="2019"/>
      </sharedItems>
      <extLst>
        <ext xmlns:x15="http://schemas.microsoft.com/office/spreadsheetml/2010/11/main" uri="{4F2E5C28-24EA-4eb8-9CBF-B6C8F9C3D259}">
          <x15:cachedUniqueNames>
            <x15:cachedUniqueName index="0" name="[Books].[Year].&amp;[2009]"/>
            <x15:cachedUniqueName index="1" name="[Books].[Year].&amp;[2010]"/>
            <x15:cachedUniqueName index="2" name="[Books].[Year].&amp;[2011]"/>
            <x15:cachedUniqueName index="3" name="[Books].[Year].&amp;[2012]"/>
            <x15:cachedUniqueName index="4" name="[Books].[Year].&amp;[2013]"/>
            <x15:cachedUniqueName index="5" name="[Books].[Year].&amp;[2014]"/>
            <x15:cachedUniqueName index="6" name="[Books].[Year].&amp;[2015]"/>
            <x15:cachedUniqueName index="7" name="[Books].[Year].&amp;[2016]"/>
            <x15:cachedUniqueName index="8" name="[Books].[Year].&amp;[2017]"/>
            <x15:cachedUniqueName index="9" name="[Books].[Year].&amp;[2018]"/>
            <x15:cachedUniqueName index="10" name="[Books].[Year].&amp;[2019]"/>
          </x15:cachedUniqueNames>
        </ext>
      </extLst>
    </cacheField>
    <cacheField name="[Measures].[Sum of Reviews]" caption="Sum of Reviews" numFmtId="0" hierarchy="12" level="32767"/>
    <cacheField name="[Books].[Name].[Name]" caption="Name" numFmtId="0" level="1">
      <sharedItems containsSemiMixedTypes="0" containsNonDate="0" containsString="0"/>
    </cacheField>
    <cacheField name="[Books].[Author].[Author]" caption="Author" numFmtId="0" hierarchy="1" level="1">
      <sharedItems containsSemiMixedTypes="0" containsNonDate="0" containsString="0"/>
    </cacheField>
  </cacheFields>
  <cacheHierarchies count="17">
    <cacheHierarchy uniqueName="[Books].[Name]" caption="Name" attribute="1" defaultMemberUniqueName="[Books].[Name].[All]" allUniqueName="[Books].[Name].[All]" dimensionUniqueName="[Books]" displayFolder="" count="2" memberValueDatatype="130" unbalanced="0">
      <fieldsUsage count="2">
        <fieldUsage x="-1"/>
        <fieldUsage x="2"/>
      </fieldsUsage>
    </cacheHierarchy>
    <cacheHierarchy uniqueName="[Books].[Author]" caption="Author" attribute="1" defaultMemberUniqueName="[Books].[Author].[All]" allUniqueName="[Books].[Author].[All]" dimensionUniqueName="[Books]" displayFolder="" count="2" memberValueDatatype="130" unbalanced="0">
      <fieldsUsage count="2">
        <fieldUsage x="-1"/>
        <fieldUsage x="3"/>
      </fieldsUsage>
    </cacheHierarchy>
    <cacheHierarchy uniqueName="[Books].[User Rating]" caption="User Rating" attribute="1" defaultMemberUniqueName="[Books].[User Rating].[All]" allUniqueName="[Books].[User Rating].[All]" dimensionUniqueName="[Books]" displayFolder="" count="0" memberValueDatatype="5" unbalanced="0"/>
    <cacheHierarchy uniqueName="[Books].[Reviews]" caption="Reviews" attribute="1" defaultMemberUniqueName="[Books].[Reviews].[All]" allUniqueName="[Books].[Reviews].[All]" dimensionUniqueName="[Books]" displayFolder="" count="0" memberValueDatatype="20" unbalanced="0"/>
    <cacheHierarchy uniqueName="[Books].[Price]" caption="Price" attribute="1" defaultMemberUniqueName="[Books].[Price].[All]" allUniqueName="[Books].[Price].[All]" dimensionUniqueName="[Books]" displayFolder="" count="0" memberValueDatatype="20" unbalanced="0"/>
    <cacheHierarchy uniqueName="[Books].[Year]" caption="Year" attribute="1" defaultMemberUniqueName="[Books].[Year].[All]" allUniqueName="[Books].[Year].[All]" dimensionUniqueName="[Books]" displayFolder="" count="2" memberValueDatatype="20" unbalanced="0">
      <fieldsUsage count="2">
        <fieldUsage x="-1"/>
        <fieldUsage x="0"/>
      </fieldsUsage>
    </cacheHierarchy>
    <cacheHierarchy uniqueName="[Books].[Genre]" caption="Genre" attribute="1" defaultMemberUniqueName="[Books].[Genre].[All]" allUniqueName="[Books].[Genre].[All]" dimensionUniqueName="[Books]" displayFolder="" count="2" memberValueDatatype="130" unbalanced="0"/>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212078703706" backgroundQuery="1" createdVersion="8" refreshedVersion="8" minRefreshableVersion="3" recordCount="0" supportSubquery="1" supportAdvancedDrill="1" xr:uid="{F9DB35B5-DC85-4129-900B-AEDF9737E2E5}">
  <cacheSource type="external" connectionId="1"/>
  <cacheFields count="4">
    <cacheField name="[Measures].[Sum of Reviews]" caption="Sum of Reviews" numFmtId="0" hierarchy="12" level="32767"/>
    <cacheField name="[Books].[Author].[Author]" caption="Author" numFmtId="0" hierarchy="1" level="1">
      <sharedItems count="10">
        <s v="Don Miguel Ruiz"/>
        <s v="Dr. Seuss"/>
        <s v="E L James"/>
        <s v="Eric Carle"/>
        <s v="Gary Chapman"/>
        <s v="Gillian Flynn"/>
        <s v="Harper Lee"/>
        <s v="John Green"/>
        <s v="Paula Hawkins"/>
        <s v="Suzanne Collins"/>
      </sharedItems>
    </cacheField>
    <cacheField name="[Measures].[Average of User Rating]" caption="Average of User Rating" numFmtId="0" hierarchy="11" level="32767"/>
    <cacheField name="[Books].[Name].[Name]" caption="Name" numFmtId="0" level="1">
      <sharedItems containsSemiMixedTypes="0" containsNonDate="0" containsString="0"/>
    </cacheField>
  </cacheFields>
  <cacheHierarchies count="17">
    <cacheHierarchy uniqueName="[Books].[Name]" caption="Name" attribute="1" defaultMemberUniqueName="[Books].[Name].[All]" allUniqueName="[Books].[Name].[All]" dimensionUniqueName="[Books]" displayFolder="" count="2" memberValueDatatype="130" unbalanced="0">
      <fieldsUsage count="2">
        <fieldUsage x="-1"/>
        <fieldUsage x="3"/>
      </fieldsUsage>
    </cacheHierarchy>
    <cacheHierarchy uniqueName="[Books].[Author]" caption="Author" attribute="1" defaultMemberUniqueName="[Books].[Author].[All]" allUniqueName="[Books].[Author].[All]" dimensionUniqueName="[Books]" displayFolder="" count="2" memberValueDatatype="130" unbalanced="0">
      <fieldsUsage count="2">
        <fieldUsage x="-1"/>
        <fieldUsage x="1"/>
      </fieldsUsage>
    </cacheHierarchy>
    <cacheHierarchy uniqueName="[Books].[User Rating]" caption="User Rating" attribute="1" defaultMemberUniqueName="[Books].[User Rating].[All]" allUniqueName="[Books].[User Rating].[All]" dimensionUniqueName="[Books]" displayFolder="" count="2" memberValueDatatype="5" unbalanced="0"/>
    <cacheHierarchy uniqueName="[Books].[Reviews]" caption="Reviews" attribute="1" defaultMemberUniqueName="[Books].[Reviews].[All]" allUniqueName="[Books].[Reviews].[All]" dimensionUniqueName="[Books]" displayFolder="" count="2" memberValueDatatype="20" unbalanced="0"/>
    <cacheHierarchy uniqueName="[Books].[Price]" caption="Price" attribute="1" defaultMemberUniqueName="[Books].[Price].[All]" allUniqueName="[Books].[Price].[All]" dimensionUniqueName="[Books]" displayFolder="" count="2" memberValueDatatype="20" unbalanced="0"/>
    <cacheHierarchy uniqueName="[Books].[Year]" caption="Year" attribute="1" defaultMemberUniqueName="[Books].[Year].[All]" allUniqueName="[Books].[Year].[All]" dimensionUniqueName="[Books]" displayFolder="" count="2" memberValueDatatype="20" unbalanced="0"/>
    <cacheHierarchy uniqueName="[Books].[Genre]" caption="Genre" attribute="1" defaultMemberUniqueName="[Books].[Genre].[All]" allUniqueName="[Books].[Genre].[All]" dimensionUniqueName="[Books]" displayFolder="" count="2" memberValueDatatype="130" unbalanced="0"/>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081537847225" backgroundQuery="1" createdVersion="8" refreshedVersion="8" minRefreshableVersion="3" recordCount="0" supportSubquery="1" supportAdvancedDrill="1" xr:uid="{248FD021-D262-40FD-B187-93E5DE151343}">
  <cacheSource type="external" connectionId="1"/>
  <cacheFields count="4">
    <cacheField name="[Measures].[Sum of Reviews]" caption="Sum of Reviews" numFmtId="0" hierarchy="12" level="32767"/>
    <cacheField name="[Books].[Name].[Name]" caption="Name" numFmtId="0" level="1">
      <sharedItems count="20">
        <s v="Becoming"/>
        <s v="Gone Girl"/>
        <s v="How to Win Friends &amp; Influence People"/>
        <s v="Oh, the Places You'll Go!"/>
        <s v="The 5 Love Languages: The Secret to Love That Lasts"/>
        <s v="The Fault in Our Stars"/>
        <s v="The Four Agreements: A Practical Guide to Personal Freedom (A Toltec Wisdom Book)"/>
        <s v="The Girl on the Train"/>
        <s v="The Very Hungry Caterpillar"/>
        <s v="To Kill a Mockingbird"/>
        <s v="Fifty Shades of Grey: Book One of the Fifty Shades Trilogy (Fifty Shades of Grey Series)" u="1"/>
        <s v="First 100 Words" u="1"/>
        <s v="Jesus Calling: Enjoying Peace in His Presence (with Scripture References)" u="1"/>
        <s v="Mockingjay (The Hunger Games)" u="1"/>
        <s v="Publication Manual of the American Psychological Association, 6th Edition" u="1"/>
        <s v="The Life-Changing Magic of Tidying Up: The Japanese Art of Decluttering and Organizing" u="1"/>
        <s v="The Nightingale: A Novel" u="1"/>
        <s v="Unbroken: A World War II Story of Survival, Resilience, and Redemption" u="1"/>
        <s v="Where the Crawdads Sing" u="1"/>
        <s v="Wonder" u="1"/>
      </sharedItems>
    </cacheField>
    <cacheField name="[Measures].[Average of User Rating]" caption="Average of User Rating" numFmtId="0" hierarchy="11" level="32767"/>
    <cacheField name="[Books].[Genre].[Genre]" caption="Genre" numFmtId="0" hierarchy="6" level="1">
      <sharedItems count="2">
        <s v="Non Fiction"/>
        <s v="Fiction"/>
      </sharedItems>
    </cacheField>
  </cacheFields>
  <cacheHierarchies count="17">
    <cacheHierarchy uniqueName="[Books].[Name]" caption="Name" attribute="1" defaultMemberUniqueName="[Books].[Name].[All]" allUniqueName="[Books].[Name].[All]" dimensionUniqueName="[Books]" displayFolder="" count="2" memberValueDatatype="130" unbalanced="0">
      <fieldsUsage count="2">
        <fieldUsage x="-1"/>
        <fieldUsage x="1"/>
      </fieldsUsage>
    </cacheHierarchy>
    <cacheHierarchy uniqueName="[Books].[Author]" caption="Author" attribute="1" defaultMemberUniqueName="[Books].[Author].[All]" allUniqueName="[Books].[Author].[All]" dimensionUniqueName="[Books]" displayFolder="" count="0" memberValueDatatype="130" unbalanced="0"/>
    <cacheHierarchy uniqueName="[Books].[User Rating]" caption="User Rating" attribute="1" defaultMemberUniqueName="[Books].[User Rating].[All]" allUniqueName="[Books].[User Rating].[All]" dimensionUniqueName="[Books]" displayFolder="" count="0" memberValueDatatype="5" unbalanced="0"/>
    <cacheHierarchy uniqueName="[Books].[Reviews]" caption="Reviews" attribute="1" defaultMemberUniqueName="[Books].[Reviews].[All]" allUniqueName="[Books].[Reviews].[All]" dimensionUniqueName="[Books]" displayFolder="" count="0" memberValueDatatype="20" unbalanced="0"/>
    <cacheHierarchy uniqueName="[Books].[Price]" caption="Price" attribute="1" defaultMemberUniqueName="[Books].[Price].[All]" allUniqueName="[Books].[Price].[All]" dimensionUniqueName="[Books]" displayFolder="" count="0" memberValueDatatype="20" unbalanced="0"/>
    <cacheHierarchy uniqueName="[Books].[Year]" caption="Year" attribute="1" defaultMemberUniqueName="[Books].[Year].[All]" allUniqueName="[Books].[Year].[All]" dimensionUniqueName="[Books]" displayFolder="" count="0" memberValueDatatype="20" unbalanced="0"/>
    <cacheHierarchy uniqueName="[Books].[Genre]" caption="Genre" attribute="1" defaultMemberUniqueName="[Books].[Genre].[All]" allUniqueName="[Books].[Genre].[All]" dimensionUniqueName="[Books]" displayFolder="" count="2" memberValueDatatype="130" unbalanced="0">
      <fieldsUsage count="2">
        <fieldUsage x="-1"/>
        <fieldUsage x="3"/>
      </fieldsUsage>
    </cacheHierarchy>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dimensions count="2">
    <dimension name="Books" uniqueName="[Books]" caption="Books"/>
    <dimension measure="1" name="Measures" uniqueName="[Measures]" caption="Measures"/>
  </dimensions>
  <measureGroups count="1">
    <measureGroup name="Books" caption="Book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33.103327314813" backgroundQuery="1" createdVersion="3" refreshedVersion="8" minRefreshableVersion="3" recordCount="0" supportSubquery="1" supportAdvancedDrill="1" xr:uid="{54C28A39-C370-4956-B93E-D3B3A6FF6095}">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Books].[Name]" caption="Name" attribute="1" defaultMemberUniqueName="[Books].[Name].[All]" allUniqueName="[Books].[Name].[All]" dimensionUniqueName="[Books]" displayFolder="" count="2" memberValueDatatype="130" unbalanced="0"/>
    <cacheHierarchy uniqueName="[Books].[Author]" caption="Author" attribute="1" defaultMemberUniqueName="[Books].[Author].[All]" allUniqueName="[Books].[Author].[All]" dimensionUniqueName="[Books]" displayFolder="" count="2" memberValueDatatype="130" unbalanced="0"/>
    <cacheHierarchy uniqueName="[Books].[User Rating]" caption="User Rating" attribute="1" defaultMemberUniqueName="[Books].[User Rating].[All]" allUniqueName="[Books].[User Rating].[All]" dimensionUniqueName="[Books]" displayFolder="" count="0" memberValueDatatype="5" unbalanced="0"/>
    <cacheHierarchy uniqueName="[Books].[Reviews]" caption="Reviews" attribute="1" defaultMemberUniqueName="[Books].[Reviews].[All]" allUniqueName="[Books].[Reviews].[All]" dimensionUniqueName="[Books]" displayFolder="" count="0" memberValueDatatype="20" unbalanced="0"/>
    <cacheHierarchy uniqueName="[Books].[Price]" caption="Price" attribute="1" defaultMemberUniqueName="[Books].[Price].[All]" allUniqueName="[Books].[Price].[All]" dimensionUniqueName="[Books]" displayFolder="" count="0" memberValueDatatype="20" unbalanced="0"/>
    <cacheHierarchy uniqueName="[Books].[Year]" caption="Year" attribute="1" defaultMemberUniqueName="[Books].[Year].[All]" allUniqueName="[Books].[Year].[All]" dimensionUniqueName="[Books]" displayFolder="" count="2" memberValueDatatype="20" unbalanced="0"/>
    <cacheHierarchy uniqueName="[Books].[Genre]" caption="Genre" attribute="1" defaultMemberUniqueName="[Books].[Genre].[All]" allUniqueName="[Books].[Genre].[All]" dimensionUniqueName="[Books]" displayFolder="" count="2" memberValueDatatype="130" unbalanced="0"/>
    <cacheHierarchy uniqueName="[Measures].[__XL_Count Books]" caption="__XL_Count Books" measure="1" displayFolder="" measureGroup="Books" count="0" hidden="1"/>
    <cacheHierarchy uniqueName="[Measures].[__No measures defined]" caption="__No measures defined" measure="1" displayFolder="" count="0" hidden="1"/>
    <cacheHierarchy uniqueName="[Measures].[Sum of User Rating]" caption="Sum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Books" count="0" hidden="1">
      <extLst>
        <ext xmlns:x15="http://schemas.microsoft.com/office/spreadsheetml/2010/11/main" uri="{B97F6D7D-B522-45F9-BDA1-12C45D357490}">
          <x15:cacheHierarchy aggregatedColumn="5"/>
        </ext>
      </extLst>
    </cacheHierarchy>
    <cacheHierarchy uniqueName="[Measures].[Average of User Rating]" caption="Average of User Rating" measure="1" displayFolder="" measureGroup="Books"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Book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ooks"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Books"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Books" count="0" hidden="1">
      <extLst>
        <ext xmlns:x15="http://schemas.microsoft.com/office/spreadsheetml/2010/11/main" uri="{B97F6D7D-B522-45F9-BDA1-12C45D357490}">
          <x15:cacheHierarchy aggregatedColumn="6"/>
        </ext>
      </extLst>
    </cacheHierarchy>
    <cacheHierarchy uniqueName="[Measures].[Count of User Rating]" caption="Count of User Rating" measure="1" displayFolder="" measureGroup="Book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92789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33AE5-F017-4AA0-8A4F-6167E0865C66}" name="Average( User Rating, price) per year"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Year">
  <location ref="B6:D18" firstHeaderRow="0" firstDataRow="1" firstDataCol="1"/>
  <pivotFields count="5">
    <pivotField axis="axisRow" allDrilled="1" subtotalTop="0" showAll="0" defaultSubtotal="0" defaultAttributeDrillState="1">
      <items count="11">
        <item x="2"/>
        <item x="3"/>
        <item x="4"/>
        <item x="5"/>
        <item x="10"/>
        <item x="1"/>
        <item x="0"/>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Average of User Rating" fld="1" subtotal="average" baseField="0" baseItem="0" numFmtId="167"/>
    <dataField name="Average of Price" fld="2" subtotal="average" baseField="0" baseItem="3" numFmtId="166"/>
  </dataFields>
  <formats count="80">
    <format dxfId="314">
      <pivotArea type="all" dataOnly="0" outline="0" fieldPosition="0"/>
    </format>
    <format dxfId="315">
      <pivotArea type="all" dataOnly="0" outline="0" fieldPosition="0"/>
    </format>
    <format dxfId="316">
      <pivotArea outline="0" fieldPosition="0">
        <references count="1">
          <reference field="4294967294" count="1">
            <x v="0"/>
          </reference>
        </references>
      </pivotArea>
    </format>
    <format dxfId="317">
      <pivotArea grandRow="1" outline="0" collapsedLevelsAreSubtotals="1" fieldPosition="0"/>
    </format>
    <format dxfId="318">
      <pivotArea type="all" dataOnly="0" outline="0" fieldPosition="0"/>
    </format>
    <format dxfId="319">
      <pivotArea outline="0" collapsedLevelsAreSubtotals="1" fieldPosition="0"/>
    </format>
    <format dxfId="320">
      <pivotArea field="0" type="button" dataOnly="0" labelOnly="1" outline="0" axis="axisRow" fieldPosition="0"/>
    </format>
    <format dxfId="321">
      <pivotArea dataOnly="0" labelOnly="1" fieldPosition="0">
        <references count="1">
          <reference field="0" count="0"/>
        </references>
      </pivotArea>
    </format>
    <format dxfId="322">
      <pivotArea dataOnly="0" labelOnly="1" grandRow="1" outline="0" fieldPosition="0"/>
    </format>
    <format dxfId="323">
      <pivotArea dataOnly="0" labelOnly="1" outline="0" axis="axisValues" fieldPosition="0"/>
    </format>
    <format dxfId="324">
      <pivotArea type="all" dataOnly="0" outline="0" fieldPosition="0"/>
    </format>
    <format dxfId="325">
      <pivotArea field="0" type="button" dataOnly="0" labelOnly="1" outline="0" axis="axisRow" fieldPosition="0"/>
    </format>
    <format dxfId="326">
      <pivotArea dataOnly="0" labelOnly="1" fieldPosition="0">
        <references count="1">
          <reference field="0" count="0"/>
        </references>
      </pivotArea>
    </format>
    <format dxfId="327">
      <pivotArea dataOnly="0" labelOnly="1" grandRow="1" outline="0" fieldPosition="0"/>
    </format>
    <format dxfId="328">
      <pivotArea dataOnly="0" labelOnly="1" outline="0" axis="axisValues" fieldPosition="0"/>
    </format>
    <format dxfId="329">
      <pivotArea field="0" type="button" dataOnly="0" labelOnly="1" outline="0" axis="axisRow" fieldPosition="0"/>
    </format>
    <format dxfId="330">
      <pivotArea dataOnly="0" labelOnly="1" outline="0" axis="axisValues" fieldPosition="0"/>
    </format>
    <format dxfId="331">
      <pivotArea field="0" type="button" dataOnly="0" labelOnly="1" outline="0" axis="axisRow" fieldPosition="0"/>
    </format>
    <format dxfId="332">
      <pivotArea dataOnly="0" labelOnly="1" outline="0" axis="axisValues" fieldPosition="0"/>
    </format>
    <format dxfId="333">
      <pivotArea collapsedLevelsAreSubtotals="1" fieldPosition="0">
        <references count="1">
          <reference field="0" count="0"/>
        </references>
      </pivotArea>
    </format>
    <format dxfId="334">
      <pivotArea dataOnly="0" labelOnly="1" fieldPosition="0">
        <references count="1">
          <reference field="0" count="0"/>
        </references>
      </pivotArea>
    </format>
    <format dxfId="335">
      <pivotArea dataOnly="0" labelOnly="1" grandRow="1" outline="0" fieldPosition="0"/>
    </format>
    <format dxfId="336">
      <pivotArea grandRow="1" outline="0" collapsedLevelsAreSubtotals="1" fieldPosition="0"/>
    </format>
    <format dxfId="337">
      <pivotArea field="0" type="button" dataOnly="0" labelOnly="1" outline="0" axis="axisRow" fieldPosition="0"/>
    </format>
    <format dxfId="338">
      <pivotArea dataOnly="0" labelOnly="1" outline="0" axis="axisValues" fieldPosition="0"/>
    </format>
    <format dxfId="339">
      <pivotArea type="all" dataOnly="0" outline="0" fieldPosition="0"/>
    </format>
    <format dxfId="340">
      <pivotArea outline="0" collapsedLevelsAreSubtotals="1" fieldPosition="0"/>
    </format>
    <format dxfId="341">
      <pivotArea field="0" type="button" dataOnly="0" labelOnly="1" outline="0" axis="axisRow" fieldPosition="0"/>
    </format>
    <format dxfId="342">
      <pivotArea dataOnly="0" labelOnly="1" fieldPosition="0">
        <references count="1">
          <reference field="0" count="0"/>
        </references>
      </pivotArea>
    </format>
    <format dxfId="343">
      <pivotArea dataOnly="0" labelOnly="1" grandRow="1" outline="0" fieldPosition="0"/>
    </format>
    <format dxfId="344">
      <pivotArea dataOnly="0" labelOnly="1" outline="0" axis="axisValues" fieldPosition="0"/>
    </format>
    <format dxfId="345">
      <pivotArea dataOnly="0" fieldPosition="0">
        <references count="1">
          <reference field="0" count="0"/>
        </references>
      </pivotArea>
    </format>
    <format dxfId="346">
      <pivotArea dataOnly="0" labelOnly="1" fieldPosition="0">
        <references count="1">
          <reference field="0" count="0"/>
        </references>
      </pivotArea>
    </format>
    <format dxfId="347">
      <pivotArea type="all" dataOnly="0" outline="0" fieldPosition="0"/>
    </format>
    <format dxfId="348">
      <pivotArea outline="0" collapsedLevelsAreSubtotals="1" fieldPosition="0"/>
    </format>
    <format dxfId="349">
      <pivotArea field="0" type="button" dataOnly="0" labelOnly="1" outline="0" axis="axisRow" fieldPosition="0"/>
    </format>
    <format dxfId="350">
      <pivotArea dataOnly="0" labelOnly="1" outline="0" axis="axisValues" fieldPosition="0"/>
    </format>
    <format dxfId="351">
      <pivotArea dataOnly="0" labelOnly="1" grandRow="1" outline="0" fieldPosition="0"/>
    </format>
    <format dxfId="352">
      <pivotArea dataOnly="0" labelOnly="1" fieldPosition="0">
        <references count="1">
          <reference field="0" count="0"/>
        </references>
      </pivotArea>
    </format>
    <format dxfId="353">
      <pivotArea type="all" dataOnly="0" outline="0" fieldPosition="0"/>
    </format>
    <format dxfId="354">
      <pivotArea outline="0" collapsedLevelsAreSubtotals="1" fieldPosition="0"/>
    </format>
    <format dxfId="355">
      <pivotArea field="0" type="button" dataOnly="0" labelOnly="1" outline="0" axis="axisRow" fieldPosition="0"/>
    </format>
    <format dxfId="356">
      <pivotArea dataOnly="0" labelOnly="1" fieldPosition="0">
        <references count="1">
          <reference field="0" count="0"/>
        </references>
      </pivotArea>
    </format>
    <format dxfId="357">
      <pivotArea dataOnly="0" labelOnly="1" grandRow="1" outline="0" fieldPosition="0"/>
    </format>
    <format dxfId="358">
      <pivotArea dataOnly="0" labelOnly="1" outline="0" axis="axisValues" fieldPosition="0"/>
    </format>
    <format dxfId="359">
      <pivotArea field="0" type="button" dataOnly="0" labelOnly="1" outline="0" axis="axisRow" fieldPosition="0"/>
    </format>
    <format dxfId="360">
      <pivotArea dataOnly="0" outline="0" axis="axisValues" fieldPosition="0"/>
    </format>
    <format dxfId="361">
      <pivotArea grandRow="1" outline="0" collapsedLevelsAreSubtotals="1" fieldPosition="0"/>
    </format>
    <format dxfId="362">
      <pivotArea dataOnly="0" labelOnly="1" grandRow="1" outline="0" fieldPosition="0"/>
    </format>
    <format dxfId="363">
      <pivotArea dataOnly="0" labelOnly="1" fieldPosition="0">
        <references count="1">
          <reference field="0" count="0"/>
        </references>
      </pivotArea>
    </format>
    <format dxfId="364">
      <pivotArea dataOnly="0" labelOnly="1" outline="0" fieldPosition="0">
        <references count="1">
          <reference field="4294967294" count="2">
            <x v="0"/>
            <x v="1"/>
          </reference>
        </references>
      </pivotArea>
    </format>
    <format dxfId="365">
      <pivotArea outline="0" collapsedLevelsAreSubtotals="1" fieldPosition="0"/>
    </format>
    <format dxfId="366">
      <pivotArea dataOnly="0" labelOnly="1" fieldPosition="0">
        <references count="1">
          <reference field="0" count="0"/>
        </references>
      </pivotArea>
    </format>
    <format dxfId="367">
      <pivotArea field="0" type="button" dataOnly="0" labelOnly="1" outline="0" axis="axisRow" fieldPosition="0"/>
    </format>
    <format dxfId="368">
      <pivotArea dataOnly="0" labelOnly="1" outline="0" fieldPosition="0">
        <references count="1">
          <reference field="4294967294" count="2">
            <x v="0"/>
            <x v="1"/>
          </reference>
        </references>
      </pivotArea>
    </format>
    <format dxfId="369">
      <pivotArea type="all" dataOnly="0" outline="0" fieldPosition="0"/>
    </format>
    <format dxfId="370">
      <pivotArea dataOnly="0" labelOnly="1" grandRow="1" outline="0" fieldPosition="0"/>
    </format>
    <format dxfId="371">
      <pivotArea type="all" dataOnly="0" outline="0" fieldPosition="0"/>
    </format>
    <format dxfId="372">
      <pivotArea collapsedLevelsAreSubtotals="1" fieldPosition="0">
        <references count="1">
          <reference field="0" count="0"/>
        </references>
      </pivotArea>
    </format>
    <format dxfId="373">
      <pivotArea type="all" dataOnly="0" outline="0" fieldPosition="0"/>
    </format>
    <format dxfId="374">
      <pivotArea outline="0" collapsedLevelsAreSubtotals="1" fieldPosition="0"/>
    </format>
    <format dxfId="375">
      <pivotArea dataOnly="0" labelOnly="1" fieldPosition="0">
        <references count="1">
          <reference field="0" count="1">
            <x v="5"/>
          </reference>
        </references>
      </pivotArea>
    </format>
    <format dxfId="376">
      <pivotArea dataOnly="0" labelOnly="1" grandRow="1" outline="0" fieldPosition="0"/>
    </format>
    <format dxfId="377">
      <pivotArea field="0" type="button" dataOnly="0" labelOnly="1" outline="0" axis="axisRow" fieldPosition="0"/>
    </format>
    <format dxfId="378">
      <pivotArea dataOnly="0" labelOnly="1" outline="0" fieldPosition="0">
        <references count="1">
          <reference field="4294967294" count="2">
            <x v="0"/>
            <x v="1"/>
          </reference>
        </references>
      </pivotArea>
    </format>
    <format dxfId="379">
      <pivotArea grandRow="1" outline="0" collapsedLevelsAreSubtotals="1" fieldPosition="0"/>
    </format>
    <format dxfId="380">
      <pivotArea dataOnly="0" labelOnly="1" grandRow="1" outline="0" fieldPosition="0"/>
    </format>
    <format dxfId="381">
      <pivotArea collapsedLevelsAreSubtotals="1" fieldPosition="0">
        <references count="1">
          <reference field="0" count="1">
            <x v="5"/>
          </reference>
        </references>
      </pivotArea>
    </format>
    <format dxfId="382">
      <pivotArea dataOnly="0" labelOnly="1" fieldPosition="0">
        <references count="1">
          <reference field="0" count="1">
            <x v="5"/>
          </reference>
        </references>
      </pivotArea>
    </format>
    <format dxfId="383">
      <pivotArea outline="0" collapsedLevelsAreSubtotals="1" fieldPosition="0">
        <references count="1">
          <reference field="4294967294" count="1" selected="0">
            <x v="0"/>
          </reference>
        </references>
      </pivotArea>
    </format>
    <format dxfId="384">
      <pivotArea field="0" grandRow="1" outline="0" collapsedLevelsAreSubtotals="1" axis="axisRow" fieldPosition="0">
        <references count="1">
          <reference field="4294967294" count="1" selected="0">
            <x v="0"/>
          </reference>
        </references>
      </pivotArea>
    </format>
    <format dxfId="385">
      <pivotArea outline="0" collapsedLevelsAreSubtotals="1" fieldPosition="0">
        <references count="1">
          <reference field="4294967294" count="1" selected="0">
            <x v="1"/>
          </reference>
        </references>
      </pivotArea>
    </format>
    <format dxfId="386">
      <pivotArea field="0" type="button" dataOnly="0" labelOnly="1" outline="0" axis="axisRow" fieldPosition="0"/>
    </format>
    <format dxfId="387">
      <pivotArea dataOnly="0" labelOnly="1" outline="0" fieldPosition="0">
        <references count="1">
          <reference field="4294967294" count="2">
            <x v="0"/>
            <x v="1"/>
          </reference>
        </references>
      </pivotArea>
    </format>
    <format dxfId="388">
      <pivotArea grandRow="1" outline="0" collapsedLevelsAreSubtotals="1" fieldPosition="0"/>
    </format>
    <format dxfId="389">
      <pivotArea dataOnly="0" labelOnly="1" grandRow="1" outline="0" fieldPosition="0"/>
    </format>
    <format dxfId="390">
      <pivotArea collapsedLevelsAreSubtotals="1" fieldPosition="0">
        <references count="1">
          <reference field="0" count="0"/>
        </references>
      </pivotArea>
    </format>
    <format dxfId="391">
      <pivotArea dataOnly="0" labelOnly="1" fieldPosition="0">
        <references count="1">
          <reference field="0" count="0"/>
        </references>
      </pivotArea>
    </format>
    <format dxfId="313">
      <pivotArea collapsedLevelsAreSubtotals="1" fieldPosition="0">
        <references count="1">
          <reference field="0" count="0"/>
        </references>
      </pivotArea>
    </format>
    <format dxfId="312">
      <pivotArea dataOnly="0" labelOnly="1" fieldPosition="0">
        <references count="1">
          <reference field="0" count="0"/>
        </references>
      </pivotArea>
    </format>
  </formats>
  <chartFormats count="1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0" count="1" selected="0">
            <x v="1"/>
          </reference>
        </references>
      </pivotArea>
    </chartFormat>
    <chartFormat chart="5" format="7">
      <pivotArea type="data" outline="0" fieldPosition="0">
        <references count="2">
          <reference field="4294967294" count="1" selected="0">
            <x v="1"/>
          </reference>
          <reference field="0" count="1" selected="0">
            <x v="3"/>
          </reference>
        </references>
      </pivotArea>
    </chartFormat>
    <chartFormat chart="5" format="8">
      <pivotArea type="data" outline="0" fieldPosition="0">
        <references count="2">
          <reference field="4294967294" count="1" selected="0">
            <x v="1"/>
          </reference>
          <reference field="0" count="1" selected="0">
            <x v="0"/>
          </reference>
        </references>
      </pivotArea>
    </chartFormat>
    <chartFormat chart="5" format="9">
      <pivotArea type="data" outline="0" fieldPosition="0">
        <references count="2">
          <reference field="4294967294" count="1" selected="0">
            <x v="1"/>
          </reference>
          <reference field="0" count="1" selected="0">
            <x v="2"/>
          </reference>
        </references>
      </pivotArea>
    </chartFormat>
    <chartFormat chart="5" format="10">
      <pivotArea type="data" outline="0" fieldPosition="0">
        <references count="2">
          <reference field="4294967294" count="1" selected="0">
            <x v="1"/>
          </reference>
          <reference field="0" count="1" selected="0">
            <x v="4"/>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pivotArea type="data" outline="0" fieldPosition="0">
        <references count="2">
          <reference field="4294967294" count="1" selected="0">
            <x v="1"/>
          </reference>
          <reference field="0" count="1" selected="0">
            <x v="0"/>
          </reference>
        </references>
      </pivotArea>
    </chartFormat>
    <chartFormat chart="14" format="19">
      <pivotArea type="data" outline="0" fieldPosition="0">
        <references count="2">
          <reference field="4294967294" count="1" selected="0">
            <x v="1"/>
          </reference>
          <reference field="0" count="1" selected="0">
            <x v="2"/>
          </reference>
        </references>
      </pivotArea>
    </chartFormat>
    <chartFormat chart="14" format="20">
      <pivotArea type="data" outline="0" fieldPosition="0">
        <references count="2">
          <reference field="4294967294" count="1" selected="0">
            <x v="1"/>
          </reference>
          <reference field="0" count="1" selected="0">
            <x v="4"/>
          </reference>
        </references>
      </pivotArea>
    </chartFormat>
  </chartFormats>
  <pivotHierarchies count="17">
    <pivotHierarchy multipleItemSelectionAllowed="1" dragToData="1">
      <members count="1" level="1">
        <member name="[Books].[Name].&amp;[1984 (Signet Classics)]"/>
      </members>
    </pivotHierarchy>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User Rating"/>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D3624-12AA-438D-9EC2-51C696B0032B}" name="sum reviews by genre"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Genre">
  <location ref="L11:M14" firstHeaderRow="1" firstDataRow="1" firstDataCol="1"/>
  <pivotFields count="4">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iews" fld="1" baseField="0" baseItem="0" numFmtId="168"/>
  </dataFields>
  <formats count="33">
    <format dxfId="241">
      <pivotArea type="all" dataOnly="0" outline="0" fieldPosition="0"/>
    </format>
    <format dxfId="242">
      <pivotArea outline="0" collapsedLevelsAreSubtotals="1" fieldPosition="0"/>
    </format>
    <format dxfId="243">
      <pivotArea field="0" type="button" dataOnly="0" labelOnly="1" outline="0" axis="axisRow" fieldPosition="0"/>
    </format>
    <format dxfId="244">
      <pivotArea dataOnly="0" labelOnly="1" fieldPosition="0">
        <references count="1">
          <reference field="0" count="0"/>
        </references>
      </pivotArea>
    </format>
    <format dxfId="245">
      <pivotArea dataOnly="0" labelOnly="1" grandRow="1" outline="0" fieldPosition="0"/>
    </format>
    <format dxfId="246">
      <pivotArea dataOnly="0" labelOnly="1" outline="0" axis="axisValues" fieldPosition="0"/>
    </format>
    <format dxfId="247">
      <pivotArea field="0" type="button" dataOnly="0" labelOnly="1" outline="0" axis="axisRow" fieldPosition="0"/>
    </format>
    <format dxfId="248">
      <pivotArea dataOnly="0" labelOnly="1" outline="0" axis="axisValues" fieldPosition="0"/>
    </format>
    <format dxfId="249">
      <pivotArea field="0" type="button" dataOnly="0" labelOnly="1" outline="0" axis="axisRow" fieldPosition="0"/>
    </format>
    <format dxfId="250">
      <pivotArea dataOnly="0" labelOnly="1" outline="0" axis="axisValues" fieldPosition="0"/>
    </format>
    <format dxfId="251">
      <pivotArea grandRow="1" outline="0" collapsedLevelsAreSubtotals="1" fieldPosition="0"/>
    </format>
    <format dxfId="252">
      <pivotArea dataOnly="0" labelOnly="1" grandRow="1" outline="0" fieldPosition="0"/>
    </format>
    <format dxfId="253">
      <pivotArea outline="0" collapsedLevelsAreSubtotals="1" fieldPosition="0"/>
    </format>
    <format dxfId="254">
      <pivotArea outline="0" collapsedLevelsAreSubtotals="1" fieldPosition="0"/>
    </format>
    <format dxfId="255">
      <pivotArea outline="0" collapsedLevelsAreSubtotals="1" fieldPosition="0"/>
    </format>
    <format dxfId="256">
      <pivotArea dataOnly="0" labelOnly="1" fieldPosition="0">
        <references count="1">
          <reference field="0" count="0"/>
        </references>
      </pivotArea>
    </format>
    <format dxfId="257">
      <pivotArea collapsedLevelsAreSubtotals="1" fieldPosition="0">
        <references count="1">
          <reference field="0" count="0"/>
        </references>
      </pivotArea>
    </format>
    <format dxfId="258">
      <pivotArea dataOnly="0" labelOnly="1" fieldPosition="0">
        <references count="1">
          <reference field="0" count="0"/>
        </references>
      </pivotArea>
    </format>
    <format dxfId="259">
      <pivotArea collapsedLevelsAreSubtotals="1" fieldPosition="0">
        <references count="1">
          <reference field="0" count="0"/>
        </references>
      </pivotArea>
    </format>
    <format dxfId="260">
      <pivotArea dataOnly="0" labelOnly="1" fieldPosition="0">
        <references count="1">
          <reference field="0" count="0"/>
        </references>
      </pivotArea>
    </format>
    <format dxfId="261">
      <pivotArea outline="0" collapsedLevelsAreSubtotals="1" fieldPosition="0"/>
    </format>
    <format dxfId="262">
      <pivotArea collapsedLevelsAreSubtotals="1" fieldPosition="0">
        <references count="1">
          <reference field="0" count="0"/>
        </references>
      </pivotArea>
    </format>
    <format dxfId="263">
      <pivotArea dataOnly="0" labelOnly="1" fieldPosition="0">
        <references count="1">
          <reference field="0" count="0"/>
        </references>
      </pivotArea>
    </format>
    <format dxfId="264">
      <pivotArea field="0" type="button" dataOnly="0" labelOnly="1" outline="0" axis="axisRow" fieldPosition="0"/>
    </format>
    <format dxfId="265">
      <pivotArea dataOnly="0" labelOnly="1" outline="0" axis="axisValues" fieldPosition="0"/>
    </format>
    <format dxfId="266">
      <pivotArea grandRow="1" outline="0" collapsedLevelsAreSubtotals="1" fieldPosition="0"/>
    </format>
    <format dxfId="267">
      <pivotArea dataOnly="0" labelOnly="1" grandRow="1" outline="0" fieldPosition="0"/>
    </format>
    <format dxfId="268">
      <pivotArea grandRow="1" outline="0" collapsedLevelsAreSubtotals="1" fieldPosition="0"/>
    </format>
    <format dxfId="269">
      <pivotArea dataOnly="0" labelOnly="1" grandRow="1" outline="0" fieldPosition="0"/>
    </format>
    <format dxfId="270">
      <pivotArea grandRow="1" outline="0" collapsedLevelsAreSubtotals="1" fieldPosition="0"/>
    </format>
    <format dxfId="271">
      <pivotArea dataOnly="0" labelOnly="1" grandRow="1" outline="0" fieldPosition="0"/>
    </format>
    <format dxfId="240">
      <pivotArea collapsedLevelsAreSubtotals="1" fieldPosition="0">
        <references count="1">
          <reference field="0" count="0"/>
        </references>
      </pivotArea>
    </format>
    <format dxfId="239">
      <pivotArea dataOnly="0" labelOnly="1" fieldPosition="0">
        <references count="1">
          <reference field="0" count="0"/>
        </references>
      </pivotArea>
    </format>
  </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s>
  <pivotHierarchies count="17">
    <pivotHierarchy multipleItemSelectionAllowed="1" dragToData="1">
      <members count="1" level="1">
        <member name="[Books].[Name].&amp;[1984 (Signet Classics)]"/>
      </members>
    </pivotHierarchy>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5DC85-BF25-4F7A-880D-7A60F25BEF50}" name="user rating , genre"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Genre">
  <location ref="B11:C14"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User Rating" fld="1" subtotal="average" baseField="0" baseItem="1"/>
  </dataFields>
  <formats count="40">
    <format dxfId="274">
      <pivotArea outline="0" collapsedLevelsAreSubtotals="1" fieldPosition="0"/>
    </format>
    <format dxfId="275">
      <pivotArea dataOnly="0" labelOnly="1" grandRow="1" outline="0" fieldPosition="0"/>
    </format>
    <format dxfId="276">
      <pivotArea type="all" dataOnly="0" outline="0" fieldPosition="0"/>
    </format>
    <format dxfId="277">
      <pivotArea outline="0" collapsedLevelsAreSubtotals="1" fieldPosition="0"/>
    </format>
    <format dxfId="278">
      <pivotArea dataOnly="0" labelOnly="1" grandRow="1" outline="0" fieldPosition="0"/>
    </format>
    <format dxfId="279">
      <pivotArea dataOnly="0" labelOnly="1" outline="0" axis="axisValues" fieldPosition="0"/>
    </format>
    <format dxfId="280">
      <pivotArea type="all" dataOnly="0" outline="0" fieldPosition="0"/>
    </format>
    <format dxfId="281">
      <pivotArea outline="0" collapsedLevelsAreSubtotals="1" fieldPosition="0"/>
    </format>
    <format dxfId="282">
      <pivotArea dataOnly="0" labelOnly="1" grandRow="1" outline="0" fieldPosition="0"/>
    </format>
    <format dxfId="283">
      <pivotArea dataOnly="0" labelOnly="1" outline="0" axis="axisValues" fieldPosition="0"/>
    </format>
    <format dxfId="284">
      <pivotArea type="all" dataOnly="0" outline="0" fieldPosition="0"/>
    </format>
    <format dxfId="285">
      <pivotArea dataOnly="0" labelOnly="1" outline="0" axis="axisValues" fieldPosition="0"/>
    </format>
    <format dxfId="286">
      <pivotArea outline="0" collapsedLevelsAreSubtotals="1" fieldPosition="0"/>
    </format>
    <format dxfId="287">
      <pivotArea dataOnly="0" labelOnly="1" grandRow="1" outline="0" fieldPosition="0"/>
    </format>
    <format dxfId="288">
      <pivotArea outline="0" collapsedLevelsAreSubtotals="1" fieldPosition="0"/>
    </format>
    <format dxfId="289">
      <pivotArea dataOnly="0" labelOnly="1" grandRow="1" outline="0" fieldPosition="0"/>
    </format>
    <format dxfId="290">
      <pivotArea dataOnly="0" labelOnly="1" grandRow="1" outline="0" fieldPosition="0"/>
    </format>
    <format dxfId="291">
      <pivotArea outline="0" collapsedLevelsAreSubtotals="1" fieldPosition="0"/>
    </format>
    <format dxfId="292">
      <pivotArea grandRow="1" outline="0" collapsedLevelsAreSubtotals="1" fieldPosition="0"/>
    </format>
    <format dxfId="293">
      <pivotArea dataOnly="0" labelOnly="1" grandRow="1" outline="0" fieldPosition="0"/>
    </format>
    <format dxfId="294">
      <pivotArea grandRow="1" outline="0" collapsedLevelsAreSubtotals="1" fieldPosition="0"/>
    </format>
    <format dxfId="295">
      <pivotArea field="0" type="button" dataOnly="0" labelOnly="1" outline="0" axis="axisRow" fieldPosition="0"/>
    </format>
    <format dxfId="296">
      <pivotArea dataOnly="0" labelOnly="1" outline="0" axis="axisValues" fieldPosition="0"/>
    </format>
    <format dxfId="297">
      <pivotArea collapsedLevelsAreSubtotals="1" fieldPosition="0">
        <references count="1">
          <reference field="0" count="0"/>
        </references>
      </pivotArea>
    </format>
    <format dxfId="298">
      <pivotArea grandRow="1" outline="0" collapsedLevelsAreSubtotals="1" fieldPosition="0"/>
    </format>
    <format dxfId="299">
      <pivotArea collapsedLevelsAreSubtotals="1" fieldPosition="0">
        <references count="1">
          <reference field="0" count="0"/>
        </references>
      </pivotArea>
    </format>
    <format dxfId="300">
      <pivotArea dataOnly="0" labelOnly="1" fieldPosition="0">
        <references count="1">
          <reference field="0" count="0"/>
        </references>
      </pivotArea>
    </format>
    <format dxfId="301">
      <pivotArea collapsedLevelsAreSubtotals="1" fieldPosition="0">
        <references count="1">
          <reference field="0" count="0"/>
        </references>
      </pivotArea>
    </format>
    <format dxfId="302">
      <pivotArea dataOnly="0" labelOnly="1" fieldPosition="0">
        <references count="1">
          <reference field="0" count="0"/>
        </references>
      </pivotArea>
    </format>
    <format dxfId="303">
      <pivotArea collapsedLevelsAreSubtotals="1" fieldPosition="0">
        <references count="1">
          <reference field="0" count="0"/>
        </references>
      </pivotArea>
    </format>
    <format dxfId="304">
      <pivotArea dataOnly="0" labelOnly="1" fieldPosition="0">
        <references count="1">
          <reference field="0" count="0"/>
        </references>
      </pivotArea>
    </format>
    <format dxfId="305">
      <pivotArea field="0" type="button" dataOnly="0" labelOnly="1" outline="0" axis="axisRow" fieldPosition="0"/>
    </format>
    <format dxfId="306">
      <pivotArea dataOnly="0" labelOnly="1" outline="0" axis="axisValues" fieldPosition="0"/>
    </format>
    <format dxfId="307">
      <pivotArea type="all" dataOnly="0" outline="0" fieldPosition="0"/>
    </format>
    <format dxfId="308">
      <pivotArea collapsedLevelsAreSubtotals="1" fieldPosition="0">
        <references count="1">
          <reference field="0" count="0"/>
        </references>
      </pivotArea>
    </format>
    <format dxfId="309">
      <pivotArea dataOnly="0" grandRow="1" fieldPosition="0"/>
    </format>
    <format dxfId="310">
      <pivotArea collapsedLevelsAreSubtotals="1" fieldPosition="0">
        <references count="1">
          <reference field="0" count="0"/>
        </references>
      </pivotArea>
    </format>
    <format dxfId="311">
      <pivotArea dataOnly="0" labelOnly="1" fieldPosition="0">
        <references count="1">
          <reference field="0" count="0"/>
        </references>
      </pivotArea>
    </format>
    <format dxfId="273">
      <pivotArea collapsedLevelsAreSubtotals="1" fieldPosition="0">
        <references count="1">
          <reference field="0" count="0"/>
        </references>
      </pivotArea>
    </format>
    <format dxfId="272">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User Rating"/>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D1FAF-7E71-4460-ACED-4D93E9985A9F}" name="sum and average reviews,price by genre per year" cacheId="39"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outline="1" outlineData="1" multipleFieldFilters="0" chartFormat="17" rowHeaderCaption="Year" colHeaderCaption="Genre">
  <location ref="A6:G20" firstHeaderRow="1" firstDataRow="3" firstDataCol="1"/>
  <pivotFields count="4">
    <pivotField dataField="1" subtotalTop="0" showAll="0" defaultSubtotal="0"/>
    <pivotField axis="axisRow" allDrilled="1" subtotalTop="0" showAll="0"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12">
    <i>
      <x/>
    </i>
    <i>
      <x v="1"/>
    </i>
    <i>
      <x v="2"/>
    </i>
    <i>
      <x v="3"/>
    </i>
    <i>
      <x v="4"/>
    </i>
    <i>
      <x v="5"/>
    </i>
    <i>
      <x v="6"/>
    </i>
    <i>
      <x v="7"/>
    </i>
    <i>
      <x v="8"/>
    </i>
    <i>
      <x v="9"/>
    </i>
    <i>
      <x v="10"/>
    </i>
    <i t="grand">
      <x/>
    </i>
  </rowItems>
  <colFields count="2">
    <field x="2"/>
    <field x="-2"/>
  </colFields>
  <colItems count="6">
    <i>
      <x/>
      <x/>
    </i>
    <i r="1" i="1">
      <x v="1"/>
    </i>
    <i>
      <x v="1"/>
      <x/>
    </i>
    <i r="1" i="1">
      <x v="1"/>
    </i>
    <i t="grand">
      <x/>
    </i>
    <i t="grand" i="1">
      <x/>
    </i>
  </colItems>
  <dataFields count="2">
    <dataField name="Sum of Reviews" fld="0" baseField="0" baseItem="0"/>
    <dataField name="Average of Price" fld="3" subtotal="average" baseField="1" baseItem="5"/>
  </dataFields>
  <formats count="64">
    <format dxfId="175">
      <pivotArea dataOnly="0" outline="0" fieldPosition="0">
        <references count="1">
          <reference field="2" count="1">
            <x v="0"/>
          </reference>
        </references>
      </pivotArea>
    </format>
    <format dxfId="176">
      <pivotArea type="origin" dataOnly="0" labelOnly="1" outline="0" fieldPosition="0"/>
    </format>
    <format dxfId="177">
      <pivotArea field="2" type="button" dataOnly="0" labelOnly="1" outline="0" axis="axisCol" fieldPosition="0"/>
    </format>
    <format dxfId="178">
      <pivotArea field="-2" type="button" dataOnly="0" labelOnly="1" outline="0" axis="axisCol" fieldPosition="1"/>
    </format>
    <format dxfId="179">
      <pivotArea type="topRight" dataOnly="0" labelOnly="1" outline="0" fieldPosition="0"/>
    </format>
    <format dxfId="180">
      <pivotArea field="1" type="button" dataOnly="0" labelOnly="1" outline="0" axis="axisRow" fieldPosition="0"/>
    </format>
    <format dxfId="181">
      <pivotArea dataOnly="0" labelOnly="1" fieldPosition="0">
        <references count="1">
          <reference field="2" count="0"/>
        </references>
      </pivotArea>
    </format>
    <format dxfId="182">
      <pivotArea field="2" dataOnly="0" labelOnly="1" grandCol="1" outline="0" axis="axisCol" fieldPosition="0">
        <references count="1">
          <reference field="4294967294" count="1" selected="0">
            <x v="0"/>
          </reference>
        </references>
      </pivotArea>
    </format>
    <format dxfId="183">
      <pivotArea field="2" dataOnly="0" labelOnly="1" grandCol="1" outline="0" axis="axisCol" fieldPosition="0">
        <references count="1">
          <reference field="4294967294" count="1" selected="0">
            <x v="1"/>
          </reference>
        </references>
      </pivotArea>
    </format>
    <format dxfId="184">
      <pivotArea dataOnly="0" labelOnly="1" outline="0" fieldPosition="0">
        <references count="2">
          <reference field="4294967294" count="2">
            <x v="0"/>
            <x v="1"/>
          </reference>
          <reference field="2" count="1" selected="0">
            <x v="0"/>
          </reference>
        </references>
      </pivotArea>
    </format>
    <format dxfId="185">
      <pivotArea dataOnly="0" labelOnly="1" outline="0" fieldPosition="0">
        <references count="2">
          <reference field="4294967294" count="2">
            <x v="0"/>
            <x v="1"/>
          </reference>
          <reference field="2" count="1" selected="0">
            <x v="1"/>
          </reference>
        </references>
      </pivotArea>
    </format>
    <format dxfId="186">
      <pivotArea type="origin" dataOnly="0" labelOnly="1" outline="0" fieldPosition="0"/>
    </format>
    <format dxfId="187">
      <pivotArea field="2" type="button" dataOnly="0" labelOnly="1" outline="0" axis="axisCol" fieldPosition="0"/>
    </format>
    <format dxfId="188">
      <pivotArea field="-2" type="button" dataOnly="0" labelOnly="1" outline="0" axis="axisCol" fieldPosition="1"/>
    </format>
    <format dxfId="189">
      <pivotArea type="topRight" dataOnly="0" labelOnly="1" outline="0" fieldPosition="0"/>
    </format>
    <format dxfId="190">
      <pivotArea field="1" type="button" dataOnly="0" labelOnly="1" outline="0" axis="axisRow" fieldPosition="0"/>
    </format>
    <format dxfId="191">
      <pivotArea dataOnly="0" labelOnly="1" fieldPosition="0">
        <references count="1">
          <reference field="2" count="0"/>
        </references>
      </pivotArea>
    </format>
    <format dxfId="192">
      <pivotArea field="2" dataOnly="0" labelOnly="1" grandCol="1" outline="0" axis="axisCol" fieldPosition="0">
        <references count="1">
          <reference field="4294967294" count="1" selected="0">
            <x v="0"/>
          </reference>
        </references>
      </pivotArea>
    </format>
    <format dxfId="193">
      <pivotArea field="2" dataOnly="0" labelOnly="1" grandCol="1" outline="0" axis="axisCol" fieldPosition="0">
        <references count="1">
          <reference field="4294967294" count="1" selected="0">
            <x v="1"/>
          </reference>
        </references>
      </pivotArea>
    </format>
    <format dxfId="194">
      <pivotArea dataOnly="0" labelOnly="1" outline="0" fieldPosition="0">
        <references count="2">
          <reference field="4294967294" count="2">
            <x v="0"/>
            <x v="1"/>
          </reference>
          <reference field="2" count="1" selected="0">
            <x v="0"/>
          </reference>
        </references>
      </pivotArea>
    </format>
    <format dxfId="195">
      <pivotArea dataOnly="0" labelOnly="1" outline="0" fieldPosition="0">
        <references count="2">
          <reference field="4294967294" count="2">
            <x v="0"/>
            <x v="1"/>
          </reference>
          <reference field="2" count="1" selected="0">
            <x v="1"/>
          </reference>
        </references>
      </pivotArea>
    </format>
    <format dxfId="196">
      <pivotArea type="origin" dataOnly="0" labelOnly="1" outline="0" fieldPosition="0"/>
    </format>
    <format dxfId="197">
      <pivotArea field="2" type="button" dataOnly="0" labelOnly="1" outline="0" axis="axisCol" fieldPosition="0"/>
    </format>
    <format dxfId="198">
      <pivotArea field="-2" type="button" dataOnly="0" labelOnly="1" outline="0" axis="axisCol" fieldPosition="1"/>
    </format>
    <format dxfId="199">
      <pivotArea type="topRight" dataOnly="0" labelOnly="1" outline="0" fieldPosition="0"/>
    </format>
    <format dxfId="200">
      <pivotArea field="1" type="button" dataOnly="0" labelOnly="1" outline="0" axis="axisRow" fieldPosition="0"/>
    </format>
    <format dxfId="201">
      <pivotArea dataOnly="0" labelOnly="1" fieldPosition="0">
        <references count="1">
          <reference field="2" count="0"/>
        </references>
      </pivotArea>
    </format>
    <format dxfId="202">
      <pivotArea field="2" dataOnly="0" labelOnly="1" grandCol="1" outline="0" axis="axisCol" fieldPosition="0">
        <references count="1">
          <reference field="4294967294" count="1" selected="0">
            <x v="0"/>
          </reference>
        </references>
      </pivotArea>
    </format>
    <format dxfId="203">
      <pivotArea field="2" dataOnly="0" labelOnly="1" grandCol="1" outline="0" axis="axisCol" fieldPosition="0">
        <references count="1">
          <reference field="4294967294" count="1" selected="0">
            <x v="1"/>
          </reference>
        </references>
      </pivotArea>
    </format>
    <format dxfId="204">
      <pivotArea dataOnly="0" labelOnly="1" outline="0" fieldPosition="0">
        <references count="2">
          <reference field="4294967294" count="2">
            <x v="0"/>
            <x v="1"/>
          </reference>
          <reference field="2" count="1" selected="0">
            <x v="0"/>
          </reference>
        </references>
      </pivotArea>
    </format>
    <format dxfId="205">
      <pivotArea dataOnly="0" labelOnly="1" outline="0" fieldPosition="0">
        <references count="2">
          <reference field="4294967294" count="2">
            <x v="0"/>
            <x v="1"/>
          </reference>
          <reference field="2" count="1" selected="0">
            <x v="1"/>
          </reference>
        </references>
      </pivotArea>
    </format>
    <format dxfId="206">
      <pivotArea type="origin" dataOnly="0" labelOnly="1" outline="0" fieldPosition="0"/>
    </format>
    <format dxfId="207">
      <pivotArea field="2" type="button" dataOnly="0" labelOnly="1" outline="0" axis="axisCol" fieldPosition="0"/>
    </format>
    <format dxfId="208">
      <pivotArea field="-2" type="button" dataOnly="0" labelOnly="1" outline="0" axis="axisCol" fieldPosition="1"/>
    </format>
    <format dxfId="209">
      <pivotArea type="topRight" dataOnly="0" labelOnly="1" outline="0" fieldPosition="0"/>
    </format>
    <format dxfId="210">
      <pivotArea field="1" type="button" dataOnly="0" labelOnly="1" outline="0" axis="axisRow" fieldPosition="0"/>
    </format>
    <format dxfId="211">
      <pivotArea dataOnly="0" labelOnly="1" fieldPosition="0">
        <references count="1">
          <reference field="2" count="0"/>
        </references>
      </pivotArea>
    </format>
    <format dxfId="212">
      <pivotArea field="2" dataOnly="0" labelOnly="1" grandCol="1" outline="0" axis="axisCol" fieldPosition="0">
        <references count="1">
          <reference field="4294967294" count="1" selected="0">
            <x v="0"/>
          </reference>
        </references>
      </pivotArea>
    </format>
    <format dxfId="213">
      <pivotArea field="2" dataOnly="0" labelOnly="1" grandCol="1" outline="0" axis="axisCol" fieldPosition="0">
        <references count="1">
          <reference field="4294967294" count="1" selected="0">
            <x v="1"/>
          </reference>
        </references>
      </pivotArea>
    </format>
    <format dxfId="214">
      <pivotArea dataOnly="0" labelOnly="1" outline="0" fieldPosition="0">
        <references count="2">
          <reference field="4294967294" count="2">
            <x v="0"/>
            <x v="1"/>
          </reference>
          <reference field="2" count="1" selected="0">
            <x v="0"/>
          </reference>
        </references>
      </pivotArea>
    </format>
    <format dxfId="215">
      <pivotArea dataOnly="0" labelOnly="1" outline="0" fieldPosition="0">
        <references count="2">
          <reference field="4294967294" count="2">
            <x v="0"/>
            <x v="1"/>
          </reference>
          <reference field="2" count="1" selected="0">
            <x v="1"/>
          </reference>
        </references>
      </pivotArea>
    </format>
    <format dxfId="216">
      <pivotArea collapsedLevelsAreSubtotals="1" fieldPosition="0">
        <references count="1">
          <reference field="1" count="0"/>
        </references>
      </pivotArea>
    </format>
    <format dxfId="217">
      <pivotArea dataOnly="0" labelOnly="1" fieldPosition="0">
        <references count="1">
          <reference field="1" count="0"/>
        </references>
      </pivotArea>
    </format>
    <format dxfId="218">
      <pivotArea collapsedLevelsAreSubtotals="1" fieldPosition="0">
        <references count="1">
          <reference field="1" count="0"/>
        </references>
      </pivotArea>
    </format>
    <format dxfId="219">
      <pivotArea dataOnly="0" labelOnly="1" fieldPosition="0">
        <references count="1">
          <reference field="1" count="0"/>
        </references>
      </pivotArea>
    </format>
    <format dxfId="220">
      <pivotArea outline="0" collapsedLevelsAreSubtotals="1" fieldPosition="0">
        <references count="2">
          <reference field="4294967294" count="1" selected="0">
            <x v="0"/>
          </reference>
          <reference field="2" count="1" selected="0">
            <x v="0"/>
          </reference>
        </references>
      </pivotArea>
    </format>
    <format dxfId="221">
      <pivotArea outline="0" collapsedLevelsAreSubtotals="1" fieldPosition="0">
        <references count="2">
          <reference field="4294967294" count="1" selected="0">
            <x v="0"/>
          </reference>
          <reference field="2" count="1" selected="0">
            <x v="1"/>
          </reference>
        </references>
      </pivotArea>
    </format>
    <format dxfId="222">
      <pivotArea field="2" grandCol="1" outline="0" collapsedLevelsAreSubtotals="1" axis="axisCol" fieldPosition="0">
        <references count="1">
          <reference field="4294967294" count="1" selected="0">
            <x v="0"/>
          </reference>
        </references>
      </pivotArea>
    </format>
    <format dxfId="223">
      <pivotArea outline="0" collapsedLevelsAreSubtotals="1" fieldPosition="0">
        <references count="2">
          <reference field="4294967294" count="1" selected="0">
            <x v="1"/>
          </reference>
          <reference field="2" count="1" selected="0">
            <x v="0"/>
          </reference>
        </references>
      </pivotArea>
    </format>
    <format dxfId="224">
      <pivotArea field="2" grandCol="1" outline="0" collapsedLevelsAreSubtotals="1" axis="axisCol" fieldPosition="0">
        <references count="1">
          <reference field="4294967294" count="1" selected="0">
            <x v="1"/>
          </reference>
        </references>
      </pivotArea>
    </format>
    <format dxfId="225">
      <pivotArea outline="0" collapsedLevelsAreSubtotals="1" fieldPosition="0">
        <references count="2">
          <reference field="4294967294" count="1" selected="0">
            <x v="1"/>
          </reference>
          <reference field="2" count="1" selected="0">
            <x v="1"/>
          </reference>
        </references>
      </pivotArea>
    </format>
    <format dxfId="226">
      <pivotArea grandRow="1" outline="0" collapsedLevelsAreSubtotals="1" fieldPosition="0"/>
    </format>
    <format dxfId="227">
      <pivotArea dataOnly="0" labelOnly="1" grandRow="1" outline="0" fieldPosition="0"/>
    </format>
    <format dxfId="228">
      <pivotArea type="all" dataOnly="0" outline="0" fieldPosition="0"/>
    </format>
    <format dxfId="229">
      <pivotArea field="2" grandRow="1" outline="0" collapsedLevelsAreSubtotals="1" axis="axisCol" fieldPosition="0">
        <references count="2">
          <reference field="4294967294" count="1" selected="0">
            <x v="0"/>
          </reference>
          <reference field="2" count="1" selected="0">
            <x v="0"/>
          </reference>
        </references>
      </pivotArea>
    </format>
    <format dxfId="230">
      <pivotArea field="2" grandRow="1" outline="0" collapsedLevelsAreSubtotals="1" axis="axisCol" fieldPosition="0">
        <references count="2">
          <reference field="4294967294" count="1" selected="0">
            <x v="0"/>
          </reference>
          <reference field="2" count="1" selected="0">
            <x v="1"/>
          </reference>
        </references>
      </pivotArea>
    </format>
    <format dxfId="231">
      <pivotArea field="2" grandRow="1" outline="0" collapsedLevelsAreSubtotals="1" axis="axisCol" fieldPosition="0">
        <references count="2">
          <reference field="4294967294" count="1" selected="0">
            <x v="1"/>
          </reference>
          <reference field="2" count="1" selected="0">
            <x v="0"/>
          </reference>
        </references>
      </pivotArea>
    </format>
    <format dxfId="232">
      <pivotArea grandRow="1" grandCol="1" outline="0" collapsedLevelsAreSubtotals="1" fieldPosition="0">
        <references count="1">
          <reference field="4294967294" count="1" selected="0">
            <x v="0"/>
          </reference>
        </references>
      </pivotArea>
    </format>
    <format dxfId="233">
      <pivotArea grandRow="1" grandCol="1" outline="0" collapsedLevelsAreSubtotals="1" fieldPosition="0">
        <references count="1">
          <reference field="4294967294" count="1" selected="0">
            <x v="1"/>
          </reference>
        </references>
      </pivotArea>
    </format>
    <format dxfId="234">
      <pivotArea field="2" grandRow="1" outline="0" collapsedLevelsAreSubtotals="1" axis="axisCol" fieldPosition="0">
        <references count="2">
          <reference field="4294967294" count="1" selected="0">
            <x v="1"/>
          </reference>
          <reference field="2" count="1" selected="0">
            <x v="1"/>
          </reference>
        </references>
      </pivotArea>
    </format>
    <format dxfId="235">
      <pivotArea collapsedLevelsAreSubtotals="1" fieldPosition="0">
        <references count="1">
          <reference field="1" count="0"/>
        </references>
      </pivotArea>
    </format>
    <format dxfId="236">
      <pivotArea dataOnly="0" labelOnly="1" fieldPosition="0">
        <references count="1">
          <reference field="1" count="0"/>
        </references>
      </pivotArea>
    </format>
    <format dxfId="237">
      <pivotArea collapsedLevelsAreSubtotals="1" fieldPosition="0">
        <references count="1">
          <reference field="1" count="0"/>
        </references>
      </pivotArea>
    </format>
    <format dxfId="238">
      <pivotArea dataOnly="0" labelOnly="1" fieldPosition="0">
        <references count="1">
          <reference field="1" count="0"/>
        </references>
      </pivotArea>
    </format>
  </formats>
  <chartFormats count="4">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1"/>
          </reference>
          <reference field="2" count="1" selected="0">
            <x v="0"/>
          </reference>
        </references>
      </pivotArea>
    </chartFormat>
    <chartFormat chart="12" format="2" series="1">
      <pivotArea type="data" outline="0" fieldPosition="0">
        <references count="2">
          <reference field="4294967294" count="1" selected="0">
            <x v="0"/>
          </reference>
          <reference field="2" count="1" selected="0">
            <x v="1"/>
          </reference>
        </references>
      </pivotArea>
    </chartFormat>
    <chartFormat chart="12" format="3" series="1">
      <pivotArea type="data" outline="0" fieldPosition="0">
        <references count="2">
          <reference field="4294967294" count="1" selected="0">
            <x v="1"/>
          </reference>
          <reference field="2"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2">
    <colHierarchyUsage hierarchyUsage="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FC648-DADA-479B-9521-E7E146CAFBF1}" name="Top 10"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Author">
  <location ref="B29:D40" firstHeaderRow="0"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9"/>
    </i>
    <i>
      <x v="2"/>
    </i>
    <i>
      <x v="1"/>
    </i>
    <i>
      <x v="5"/>
    </i>
    <i>
      <x v="7"/>
    </i>
    <i>
      <x v="8"/>
    </i>
    <i>
      <x v="6"/>
    </i>
    <i>
      <x v="4"/>
    </i>
    <i>
      <x/>
    </i>
    <i>
      <x v="3"/>
    </i>
    <i t="grand">
      <x/>
    </i>
  </rowItems>
  <colFields count="1">
    <field x="-2"/>
  </colFields>
  <colItems count="2">
    <i>
      <x/>
    </i>
    <i i="1">
      <x v="1"/>
    </i>
  </colItems>
  <dataFields count="2">
    <dataField name="Sum of Reviews" fld="0" baseField="0" baseItem="0" numFmtId="168"/>
    <dataField name="Average of User Rating" fld="2" subtotal="average" baseField="1" baseItem="0"/>
  </dataFields>
  <formats count="23">
    <format dxfId="126">
      <pivotArea field="1" type="button" dataOnly="0" labelOnly="1" outline="0" axis="axisRow" fieldPosition="0"/>
    </format>
    <format dxfId="127">
      <pivotArea dataOnly="0" labelOnly="1" outline="0" fieldPosition="0">
        <references count="1">
          <reference field="4294967294" count="2">
            <x v="0"/>
            <x v="1"/>
          </reference>
        </references>
      </pivotArea>
    </format>
    <format dxfId="128">
      <pivotArea grandRow="1" outline="0" collapsedLevelsAreSubtotals="1" fieldPosition="0"/>
    </format>
    <format dxfId="129">
      <pivotArea dataOnly="0" labelOnly="1" grandRow="1" outline="0" fieldPosition="0"/>
    </format>
    <format dxfId="130">
      <pivotArea collapsedLevelsAreSubtotals="1" fieldPosition="0">
        <references count="2">
          <reference field="4294967294" count="1" selected="0">
            <x v="1"/>
          </reference>
          <reference field="1" count="0"/>
        </references>
      </pivotArea>
    </format>
    <format dxfId="131">
      <pivotArea field="1" grandRow="1" outline="0" collapsedLevelsAreSubtotals="1" axis="axisRow" fieldPosition="0">
        <references count="1">
          <reference field="4294967294" count="1" selected="0">
            <x v="1"/>
          </reference>
        </references>
      </pivotArea>
    </format>
    <format dxfId="132">
      <pivotArea outline="0" collapsedLevelsAreSubtotals="1" fieldPosition="0">
        <references count="1">
          <reference field="4294967294" count="1" selected="0">
            <x v="0"/>
          </reference>
        </references>
      </pivotArea>
    </format>
    <format dxfId="133">
      <pivotArea outline="0" collapsedLevelsAreSubtotals="1" fieldPosition="0">
        <references count="1">
          <reference field="4294967294" count="1" selected="0">
            <x v="0"/>
          </reference>
        </references>
      </pivotArea>
    </format>
    <format dxfId="134">
      <pivotArea collapsedLevelsAreSubtotals="1" fieldPosition="0">
        <references count="1">
          <reference field="1" count="0"/>
        </references>
      </pivotArea>
    </format>
    <format dxfId="135">
      <pivotArea dataOnly="0" labelOnly="1" fieldPosition="0">
        <references count="1">
          <reference field="1" count="0"/>
        </references>
      </pivotArea>
    </format>
    <format dxfId="136">
      <pivotArea collapsedLevelsAreSubtotals="1" fieldPosition="0">
        <references count="1">
          <reference field="1" count="0"/>
        </references>
      </pivotArea>
    </format>
    <format dxfId="137">
      <pivotArea dataOnly="0" labelOnly="1" fieldPosition="0">
        <references count="1">
          <reference field="1" count="0"/>
        </references>
      </pivotArea>
    </format>
    <format dxfId="138">
      <pivotArea dataOnly="0" labelOnly="1" fieldPosition="0">
        <references count="1">
          <reference field="1" count="0"/>
        </references>
      </pivotArea>
    </format>
    <format dxfId="139">
      <pivotArea type="all" dataOnly="0" outline="0" fieldPosition="0"/>
    </format>
    <format dxfId="140">
      <pivotArea outline="0" collapsedLevelsAreSubtotals="1" fieldPosition="0"/>
    </format>
    <format dxfId="141">
      <pivotArea field="1" type="button" dataOnly="0" labelOnly="1" outline="0" axis="axisRow" fieldPosition="0"/>
    </format>
    <format dxfId="142">
      <pivotArea dataOnly="0" labelOnly="1" grandRow="1" outline="0" fieldPosition="0"/>
    </format>
    <format dxfId="143">
      <pivotArea dataOnly="0" labelOnly="1" outline="0" fieldPosition="0">
        <references count="1">
          <reference field="4294967294" count="2">
            <x v="0"/>
            <x v="1"/>
          </reference>
        </references>
      </pivotArea>
    </format>
    <format dxfId="144">
      <pivotArea dataOnly="0" labelOnly="1" fieldPosition="0">
        <references count="1">
          <reference field="1" count="0"/>
        </references>
      </pivotArea>
    </format>
    <format dxfId="145">
      <pivotArea collapsedLevelsAreSubtotals="1" fieldPosition="0">
        <references count="1">
          <reference field="1" count="0"/>
        </references>
      </pivotArea>
    </format>
    <format dxfId="146">
      <pivotArea dataOnly="0" labelOnly="1" fieldPosition="0">
        <references count="1">
          <reference field="1" count="0"/>
        </references>
      </pivotArea>
    </format>
    <format dxfId="125">
      <pivotArea collapsedLevelsAreSubtotals="1" fieldPosition="0">
        <references count="1">
          <reference field="1" count="0"/>
        </references>
      </pivotArea>
    </format>
    <format dxfId="124">
      <pivotArea dataOnly="0" labelOnly="1" fieldPosition="0">
        <references count="1">
          <reference field="1" count="0"/>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17">
    <pivotHierarchy multipleItemSelectionAllowed="1" dragToData="1">
      <members count="1" level="1">
        <member name="[Books].[Name].&amp;[1984 (Signet Classics)]"/>
      </members>
    </pivotHierarchy>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User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12">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E1E8E2-166D-4CBA-B4AA-26DF92A89E0B}" name="reviews per year"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Year">
  <location ref="B6:C18"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Reviews" fld="1" baseField="0" baseItem="0" numFmtId="168"/>
  </dataFields>
  <formats count="28">
    <format dxfId="149">
      <pivotArea type="all" dataOnly="0" outline="0" fieldPosition="0"/>
    </format>
    <format dxfId="150">
      <pivotArea outline="0" collapsedLevelsAreSubtotals="1" fieldPosition="0"/>
    </format>
    <format dxfId="151">
      <pivotArea field="0" type="button" dataOnly="0" labelOnly="1" outline="0" axis="axisRow" fieldPosition="0"/>
    </format>
    <format dxfId="152">
      <pivotArea dataOnly="0" labelOnly="1" grandRow="1" outline="0" fieldPosition="0"/>
    </format>
    <format dxfId="153">
      <pivotArea dataOnly="0" labelOnly="1" outline="0" axis="axisValues" fieldPosition="0"/>
    </format>
    <format dxfId="154">
      <pivotArea field="0" type="button" dataOnly="0" labelOnly="1" outline="0" axis="axisRow" fieldPosition="0"/>
    </format>
    <format dxfId="155">
      <pivotArea dataOnly="0" labelOnly="1" outline="0" axis="axisValues" fieldPosition="0"/>
    </format>
    <format dxfId="156">
      <pivotArea grandRow="1" outline="0" collapsedLevelsAreSubtotals="1" fieldPosition="0"/>
    </format>
    <format dxfId="157">
      <pivotArea dataOnly="0" labelOnly="1" grandRow="1" outline="0" fieldPosition="0"/>
    </format>
    <format dxfId="158">
      <pivotArea dataOnly="0" fieldPosition="0">
        <references count="1">
          <reference field="0" count="0"/>
        </references>
      </pivotArea>
    </format>
    <format dxfId="159">
      <pivotArea outline="0" collapsedLevelsAreSubtotals="1" fieldPosition="0"/>
    </format>
    <format dxfId="160">
      <pivotArea dataOnly="0" labelOnly="1" fieldPosition="0">
        <references count="1">
          <reference field="0" count="0"/>
        </references>
      </pivotArea>
    </format>
    <format dxfId="161">
      <pivotArea dataOnly="0" labelOnly="1" grandRow="1" outline="0" fieldPosition="0"/>
    </format>
    <format dxfId="162">
      <pivotArea collapsedLevelsAreSubtotals="1" fieldPosition="0">
        <references count="1">
          <reference field="0" count="0"/>
        </references>
      </pivotArea>
    </format>
    <format dxfId="163">
      <pivotArea dataOnly="0" labelOnly="1" fieldPosition="0">
        <references count="1">
          <reference field="0" count="0"/>
        </references>
      </pivotArea>
    </format>
    <format dxfId="164">
      <pivotArea collapsedLevelsAreSubtotals="1" fieldPosition="0">
        <references count="1">
          <reference field="0" count="0"/>
        </references>
      </pivotArea>
    </format>
    <format dxfId="165">
      <pivotArea collapsedLevelsAreSubtotals="1" fieldPosition="0">
        <references count="1">
          <reference field="0" count="1">
            <x v="4"/>
          </reference>
        </references>
      </pivotArea>
    </format>
    <format dxfId="166">
      <pivotArea outline="0" collapsedLevelsAreSubtotals="1" fieldPosition="0"/>
    </format>
    <format dxfId="167">
      <pivotArea collapsedLevelsAreSubtotals="1" fieldPosition="0">
        <references count="1">
          <reference field="0" count="0"/>
        </references>
      </pivotArea>
    </format>
    <format dxfId="168">
      <pivotArea dataOnly="0" labelOnly="1" fieldPosition="0">
        <references count="1">
          <reference field="0" count="0"/>
        </references>
      </pivotArea>
    </format>
    <format dxfId="169">
      <pivotArea field="0" type="button" dataOnly="0" labelOnly="1" outline="0" axis="axisRow" fieldPosition="0"/>
    </format>
    <format dxfId="170">
      <pivotArea dataOnly="0" labelOnly="1" outline="0" axis="axisValues" fieldPosition="0"/>
    </format>
    <format dxfId="171">
      <pivotArea grandRow="1" outline="0" collapsedLevelsAreSubtotals="1" fieldPosition="0"/>
    </format>
    <format dxfId="172">
      <pivotArea dataOnly="0" labelOnly="1" grandRow="1" outline="0" fieldPosition="0"/>
    </format>
    <format dxfId="173">
      <pivotArea grandRow="1" outline="0" collapsedLevelsAreSubtotals="1" fieldPosition="0"/>
    </format>
    <format dxfId="174">
      <pivotArea grandRow="1" outline="0" collapsedLevelsAreSubtotals="1" fieldPosition="0"/>
    </format>
    <format dxfId="148">
      <pivotArea collapsedLevelsAreSubtotals="1" fieldPosition="0">
        <references count="1">
          <reference field="0" count="0"/>
        </references>
      </pivotArea>
    </format>
    <format dxfId="147">
      <pivotArea dataOnly="0" labelOnly="1" fieldPosition="0">
        <references count="1">
          <reference field="0" count="0"/>
        </references>
      </pivotArea>
    </format>
  </formats>
  <chartFormats count="2">
    <chartFormat chart="13"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17">
    <pivotHierarchy multipleItemSelectionAllowed="1" dragToData="1">
      <members count="1" level="1">
        <member name="[Books].[Name].&amp;[1984 (Signet Classics)]"/>
      </members>
    </pivotHierarchy>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1CE26E-7B79-4C21-9F63-58FA7ECB2FE9}" name="Top 10 Book"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Book Name">
  <location ref="A7:C28" firstHeaderRow="0" firstDataRow="1" firstDataCol="1"/>
  <pivotFields count="4">
    <pivotField dataField="1" subtotalTop="0" showAll="0" defaultSubtotal="0"/>
    <pivotField axis="axisRow"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2">
        <item x="0"/>
        <item x="1"/>
      </items>
    </pivotField>
  </pivotFields>
  <rowFields count="2">
    <field x="1"/>
    <field x="3"/>
  </rowFields>
  <rowItems count="21">
    <i>
      <x v="3"/>
    </i>
    <i r="1">
      <x v="1"/>
    </i>
    <i>
      <x v="1"/>
    </i>
    <i r="1">
      <x v="1"/>
    </i>
    <i>
      <x v="7"/>
    </i>
    <i r="1">
      <x v="1"/>
    </i>
    <i>
      <x v="5"/>
    </i>
    <i r="1">
      <x v="1"/>
    </i>
    <i>
      <x v="4"/>
    </i>
    <i r="1">
      <x/>
    </i>
    <i>
      <x v="6"/>
    </i>
    <i r="1">
      <x/>
    </i>
    <i>
      <x v="8"/>
    </i>
    <i r="1">
      <x v="1"/>
    </i>
    <i>
      <x v="9"/>
    </i>
    <i r="1">
      <x v="1"/>
    </i>
    <i>
      <x v="2"/>
    </i>
    <i r="1">
      <x/>
    </i>
    <i>
      <x/>
    </i>
    <i r="1">
      <x/>
    </i>
    <i t="grand">
      <x/>
    </i>
  </rowItems>
  <colFields count="1">
    <field x="-2"/>
  </colFields>
  <colItems count="2">
    <i>
      <x/>
    </i>
    <i i="1">
      <x v="1"/>
    </i>
  </colItems>
  <dataFields count="2">
    <dataField name="Sum of Reviews" fld="0" baseField="0" baseItem="0" numFmtId="168"/>
    <dataField name="Average of User Rating" fld="2" subtotal="average" baseField="1" baseItem="2"/>
  </dataFields>
  <formats count="117">
    <format dxfId="19">
      <pivotArea outline="0" collapsedLevelsAreSubtotals="1" fieldPosition="0"/>
    </format>
    <format dxfId="20">
      <pivotArea dataOnly="0" labelOnly="1" fieldPosition="0">
        <references count="1">
          <reference field="1" count="0"/>
        </references>
      </pivotArea>
    </format>
    <format dxfId="21">
      <pivotArea dataOnly="0" labelOnly="1" grandRow="1" outline="0" fieldPosition="0"/>
    </format>
    <format dxfId="22">
      <pivotArea collapsedLevelsAreSubtotals="1" fieldPosition="0">
        <references count="1">
          <reference field="1" count="2">
            <x v="0"/>
            <x v="10"/>
          </reference>
        </references>
      </pivotArea>
    </format>
    <format dxfId="23">
      <pivotArea field="1" type="button" dataOnly="0" labelOnly="1" outline="0" axis="axisRow" fieldPosition="0"/>
    </format>
    <format dxfId="24">
      <pivotArea dataOnly="0" labelOnly="1" fieldPosition="0">
        <references count="1">
          <reference field="1" count="2">
            <x v="0"/>
            <x v="10"/>
          </reference>
        </references>
      </pivotArea>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dataOnly="0" labelOnly="1" outline="0" fieldPosition="0">
        <references count="1">
          <reference field="4294967294" count="2">
            <x v="0"/>
            <x v="1"/>
          </reference>
        </references>
      </pivotArea>
    </format>
    <format dxfId="29">
      <pivotArea field="1" type="button" dataOnly="0" labelOnly="1" outline="0" axis="axisRow" fieldPosition="0"/>
    </format>
    <format dxfId="30">
      <pivotArea dataOnly="0" labelOnly="1" fieldPosition="0">
        <references count="1">
          <reference field="1" count="0"/>
        </references>
      </pivotArea>
    </format>
    <format dxfId="31">
      <pivotArea outline="0" collapsedLevelsAreSubtotals="1" fieldPosition="0">
        <references count="1">
          <reference field="4294967294" count="1" selected="0">
            <x v="0"/>
          </reference>
        </references>
      </pivotArea>
    </format>
    <format dxfId="32">
      <pivotArea field="1" grandRow="1" outline="0" collapsedLevelsAreSubtotals="1" axis="axisRow" fieldPosition="0">
        <references count="1">
          <reference field="4294967294" count="1" selected="0">
            <x v="1"/>
          </reference>
        </references>
      </pivotArea>
    </format>
    <format dxfId="33">
      <pivotArea collapsedLevelsAreSubtotals="1" fieldPosition="0">
        <references count="2">
          <reference field="4294967294" count="1" selected="0">
            <x v="1"/>
          </reference>
          <reference field="1" count="0"/>
        </references>
      </pivotArea>
    </format>
    <format dxfId="34">
      <pivotArea dataOnly="0" labelOnly="1" grandRow="1" outline="0" fieldPosition="0"/>
    </format>
    <format dxfId="35">
      <pivotArea type="all" dataOnly="0" outline="0" fieldPosition="0"/>
    </format>
    <format dxfId="36">
      <pivotArea outline="0" collapsedLevelsAreSubtotals="1" fieldPosition="0"/>
    </format>
    <format dxfId="37">
      <pivotArea field="1" type="button" dataOnly="0" labelOnly="1" outline="0" axis="axisRow" fieldPosition="0"/>
    </format>
    <format dxfId="38">
      <pivotArea dataOnly="0" labelOnly="1" fieldPosition="0">
        <references count="1">
          <reference field="1" count="0"/>
        </references>
      </pivotArea>
    </format>
    <format dxfId="39">
      <pivotArea dataOnly="0" labelOnly="1" grandRow="1" outline="0" fieldPosition="0"/>
    </format>
    <format dxfId="40">
      <pivotArea dataOnly="0" labelOnly="1" outline="0" fieldPosition="0">
        <references count="1">
          <reference field="4294967294" count="2">
            <x v="0"/>
            <x v="1"/>
          </reference>
        </references>
      </pivotArea>
    </format>
    <format dxfId="41">
      <pivotArea type="all" dataOnly="0" outline="0" fieldPosition="0"/>
    </format>
    <format dxfId="42">
      <pivotArea outline="0" collapsedLevelsAreSubtotals="1" fieldPosition="0"/>
    </format>
    <format dxfId="43">
      <pivotArea field="1" type="button" dataOnly="0" labelOnly="1" outline="0" axis="axisRow" fieldPosition="0"/>
    </format>
    <format dxfId="44">
      <pivotArea dataOnly="0" labelOnly="1" fieldPosition="0">
        <references count="1">
          <reference field="1" count="0"/>
        </references>
      </pivotArea>
    </format>
    <format dxfId="45">
      <pivotArea dataOnly="0" labelOnly="1" grandRow="1" outline="0" fieldPosition="0"/>
    </format>
    <format dxfId="46">
      <pivotArea dataOnly="0" labelOnly="1" outline="0" fieldPosition="0">
        <references count="1">
          <reference field="4294967294" count="2">
            <x v="0"/>
            <x v="1"/>
          </reference>
        </references>
      </pivotArea>
    </format>
    <format dxfId="47">
      <pivotArea field="1" type="button" dataOnly="0" labelOnly="1" outline="0" axis="axisRow" fieldPosition="0"/>
    </format>
    <format dxfId="48">
      <pivotArea dataOnly="0" labelOnly="1" outline="0" fieldPosition="0">
        <references count="1">
          <reference field="4294967294" count="2">
            <x v="0"/>
            <x v="1"/>
          </reference>
        </references>
      </pivotArea>
    </format>
    <format dxfId="49">
      <pivotArea grandRow="1" outline="0" collapsedLevelsAreSubtotals="1" fieldPosition="0"/>
    </format>
    <format dxfId="50">
      <pivotArea dataOnly="0" labelOnly="1" grandRow="1" outline="0" fieldPosition="0"/>
    </format>
    <format dxfId="51">
      <pivotArea grandRow="1" outline="0" collapsedLevelsAreSubtotals="1" fieldPosition="0"/>
    </format>
    <format dxfId="52">
      <pivotArea dataOnly="0" labelOnly="1" grandRow="1" outline="0" fieldPosition="0"/>
    </format>
    <format dxfId="53">
      <pivotArea field="1" type="button" dataOnly="0" labelOnly="1" outline="0" axis="axisRow" fieldPosition="0"/>
    </format>
    <format dxfId="54">
      <pivotArea dataOnly="0" labelOnly="1" outline="0" fieldPosition="0">
        <references count="1">
          <reference field="4294967294" count="2">
            <x v="0"/>
            <x v="1"/>
          </reference>
        </references>
      </pivotArea>
    </format>
    <format dxfId="55">
      <pivotArea collapsedLevelsAreSubtotals="1" fieldPosition="0">
        <references count="1">
          <reference field="1" count="0"/>
        </references>
      </pivotArea>
    </format>
    <format dxfId="56">
      <pivotArea dataOnly="0" labelOnly="1" fieldPosition="0">
        <references count="1">
          <reference field="1" count="0"/>
        </references>
      </pivotArea>
    </format>
    <format dxfId="57">
      <pivotArea collapsedLevelsAreSubtotals="1" fieldPosition="0">
        <references count="1">
          <reference field="1" count="1">
            <x v="17"/>
          </reference>
        </references>
      </pivotArea>
    </format>
    <format dxfId="58">
      <pivotArea collapsedLevelsAreSubtotals="1" fieldPosition="0">
        <references count="1">
          <reference field="1" count="1">
            <x v="12"/>
          </reference>
        </references>
      </pivotArea>
    </format>
    <format dxfId="59">
      <pivotArea collapsedLevelsAreSubtotals="1" fieldPosition="0">
        <references count="1">
          <reference field="1" count="1">
            <x v="19"/>
          </reference>
        </references>
      </pivotArea>
    </format>
    <format dxfId="60">
      <pivotArea collapsedLevelsAreSubtotals="1" fieldPosition="0">
        <references count="1">
          <reference field="1" count="1">
            <x v="16"/>
          </reference>
        </references>
      </pivotArea>
    </format>
    <format dxfId="61">
      <pivotArea collapsedLevelsAreSubtotals="1" fieldPosition="0">
        <references count="1">
          <reference field="1" count="1">
            <x v="10"/>
          </reference>
        </references>
      </pivotArea>
    </format>
    <format dxfId="62">
      <pivotArea dataOnly="0" labelOnly="1" fieldPosition="0">
        <references count="1">
          <reference field="1" count="1">
            <x v="10"/>
          </reference>
        </references>
      </pivotArea>
    </format>
    <format dxfId="63">
      <pivotArea collapsedLevelsAreSubtotals="1" fieldPosition="0">
        <references count="1">
          <reference field="1" count="1">
            <x v="15"/>
          </reference>
        </references>
      </pivotArea>
    </format>
    <format dxfId="64">
      <pivotArea dataOnly="0" labelOnly="1" fieldPosition="0">
        <references count="1">
          <reference field="1" count="1">
            <x v="15"/>
          </reference>
        </references>
      </pivotArea>
    </format>
    <format dxfId="65">
      <pivotArea collapsedLevelsAreSubtotals="1" fieldPosition="0">
        <references count="1">
          <reference field="1" count="1">
            <x v="18"/>
          </reference>
        </references>
      </pivotArea>
    </format>
    <format dxfId="66">
      <pivotArea dataOnly="0" labelOnly="1" fieldPosition="0">
        <references count="1">
          <reference field="1" count="1">
            <x v="18"/>
          </reference>
        </references>
      </pivotArea>
    </format>
    <format dxfId="67">
      <pivotArea collapsedLevelsAreSubtotals="1" fieldPosition="0">
        <references count="1">
          <reference field="1" count="1">
            <x v="11"/>
          </reference>
        </references>
      </pivotArea>
    </format>
    <format dxfId="68">
      <pivotArea collapsedLevelsAreSubtotals="1" fieldPosition="0">
        <references count="1">
          <reference field="1" count="1">
            <x v="14"/>
          </reference>
        </references>
      </pivotArea>
    </format>
    <format dxfId="69">
      <pivotArea dataOnly="0" labelOnly="1" fieldPosition="0">
        <references count="1">
          <reference field="1" count="1">
            <x v="14"/>
          </reference>
        </references>
      </pivotArea>
    </format>
    <format dxfId="70">
      <pivotArea collapsedLevelsAreSubtotals="1" fieldPosition="0">
        <references count="1">
          <reference field="1" count="1">
            <x v="13"/>
          </reference>
        </references>
      </pivotArea>
    </format>
    <format dxfId="71">
      <pivotArea dataOnly="0" labelOnly="1" outline="0" fieldPosition="0">
        <references count="1">
          <reference field="4294967294" count="1">
            <x v="1"/>
          </reference>
        </references>
      </pivotArea>
    </format>
    <format dxfId="72">
      <pivotArea dataOnly="0" labelOnly="1" fieldPosition="0">
        <references count="1">
          <reference field="1" count="1">
            <x v="3"/>
          </reference>
        </references>
      </pivotArea>
    </format>
    <format dxfId="73">
      <pivotArea dataOnly="0" labelOnly="1" fieldPosition="0">
        <references count="1">
          <reference field="1" count="1">
            <x v="4"/>
          </reference>
        </references>
      </pivotArea>
    </format>
    <format dxfId="74">
      <pivotArea collapsedLevelsAreSubtotals="1" fieldPosition="0">
        <references count="1">
          <reference field="1" count="1">
            <x v="2"/>
          </reference>
        </references>
      </pivotArea>
    </format>
    <format dxfId="75">
      <pivotArea dataOnly="0" labelOnly="1" fieldPosition="0">
        <references count="1">
          <reference field="1" count="1">
            <x v="2"/>
          </reference>
        </references>
      </pivotArea>
    </format>
    <format dxfId="76">
      <pivotArea collapsedLevelsAreSubtotals="1" fieldPosition="0">
        <references count="1">
          <reference field="1" count="1">
            <x v="0"/>
          </reference>
        </references>
      </pivotArea>
    </format>
    <format dxfId="77">
      <pivotArea dataOnly="0" labelOnly="1" fieldPosition="0">
        <references count="1">
          <reference field="1" count="1">
            <x v="0"/>
          </reference>
        </references>
      </pivotArea>
    </format>
    <format dxfId="78">
      <pivotArea collapsedLevelsAreSubtotals="1" fieldPosition="0">
        <references count="1">
          <reference field="1" count="1">
            <x v="6"/>
          </reference>
        </references>
      </pivotArea>
    </format>
    <format dxfId="79">
      <pivotArea collapsedLevelsAreSubtotals="1" fieldPosition="0">
        <references count="1">
          <reference field="1" count="1">
            <x v="5"/>
          </reference>
        </references>
      </pivotArea>
    </format>
    <format dxfId="80">
      <pivotArea dataOnly="0" labelOnly="1" fieldPosition="0">
        <references count="1">
          <reference field="1" count="1">
            <x v="5"/>
          </reference>
        </references>
      </pivotArea>
    </format>
    <format dxfId="81">
      <pivotArea collapsedLevelsAreSubtotals="1" fieldPosition="0">
        <references count="1">
          <reference field="1" count="1">
            <x v="7"/>
          </reference>
        </references>
      </pivotArea>
    </format>
    <format dxfId="82">
      <pivotArea dataOnly="0" labelOnly="1" fieldPosition="0">
        <references count="1">
          <reference field="1" count="1">
            <x v="7"/>
          </reference>
        </references>
      </pivotArea>
    </format>
    <format dxfId="83">
      <pivotArea collapsedLevelsAreSubtotals="1" fieldPosition="0">
        <references count="1">
          <reference field="1" count="1">
            <x v="1"/>
          </reference>
        </references>
      </pivotArea>
    </format>
    <format dxfId="84">
      <pivotArea collapsedLevelsAreSubtotals="1" fieldPosition="0">
        <references count="1">
          <reference field="1" count="1">
            <x v="8"/>
          </reference>
        </references>
      </pivotArea>
    </format>
    <format dxfId="85">
      <pivotArea collapsedLevelsAreSubtotals="1" fieldPosition="0">
        <references count="1">
          <reference field="1" count="1">
            <x v="9"/>
          </reference>
        </references>
      </pivotArea>
    </format>
    <format dxfId="86">
      <pivotArea collapsedLevelsAreSubtotals="1" fieldPosition="0">
        <references count="1">
          <reference field="1" count="1">
            <x v="4"/>
          </reference>
        </references>
      </pivotArea>
    </format>
    <format dxfId="87">
      <pivotArea dataOnly="0" labelOnly="1" fieldPosition="0">
        <references count="2">
          <reference field="1" count="1" selected="0">
            <x v="3"/>
          </reference>
          <reference field="3" count="1">
            <x v="1"/>
          </reference>
        </references>
      </pivotArea>
    </format>
    <format dxfId="88">
      <pivotArea dataOnly="0" labelOnly="1" fieldPosition="0">
        <references count="2">
          <reference field="1" count="1" selected="0">
            <x v="1"/>
          </reference>
          <reference field="3" count="1">
            <x v="1"/>
          </reference>
        </references>
      </pivotArea>
    </format>
    <format dxfId="89">
      <pivotArea dataOnly="0" labelOnly="1" fieldPosition="0">
        <references count="2">
          <reference field="1" count="1" selected="0">
            <x v="7"/>
          </reference>
          <reference field="3" count="1">
            <x v="1"/>
          </reference>
        </references>
      </pivotArea>
    </format>
    <format dxfId="90">
      <pivotArea dataOnly="0" labelOnly="1" fieldPosition="0">
        <references count="2">
          <reference field="1" count="1" selected="0">
            <x v="5"/>
          </reference>
          <reference field="3" count="1">
            <x v="1"/>
          </reference>
        </references>
      </pivotArea>
    </format>
    <format dxfId="91">
      <pivotArea dataOnly="0" labelOnly="1" fieldPosition="0">
        <references count="2">
          <reference field="1" count="1" selected="0">
            <x v="6"/>
          </reference>
          <reference field="3" count="1">
            <x v="0"/>
          </reference>
        </references>
      </pivotArea>
    </format>
    <format dxfId="92">
      <pivotArea dataOnly="0" labelOnly="1" fieldPosition="0">
        <references count="2">
          <reference field="1" count="1" selected="0">
            <x v="8"/>
          </reference>
          <reference field="3" count="1">
            <x v="1"/>
          </reference>
        </references>
      </pivotArea>
    </format>
    <format dxfId="93">
      <pivotArea dataOnly="0" labelOnly="1" fieldPosition="0">
        <references count="2">
          <reference field="1" count="1" selected="0">
            <x v="9"/>
          </reference>
          <reference field="3" count="1">
            <x v="1"/>
          </reference>
        </references>
      </pivotArea>
    </format>
    <format dxfId="94">
      <pivotArea dataOnly="0" labelOnly="1" fieldPosition="0">
        <references count="2">
          <reference field="1" count="1" selected="0">
            <x v="2"/>
          </reference>
          <reference field="3" count="1">
            <x v="0"/>
          </reference>
        </references>
      </pivotArea>
    </format>
    <format dxfId="95">
      <pivotArea dataOnly="0" labelOnly="1" fieldPosition="0">
        <references count="2">
          <reference field="1" count="1" selected="0">
            <x v="0"/>
          </reference>
          <reference field="3" count="1">
            <x v="0"/>
          </reference>
        </references>
      </pivotArea>
    </format>
    <format dxfId="96">
      <pivotArea dataOnly="0" labelOnly="1" fieldPosition="0">
        <references count="2">
          <reference field="1" count="1" selected="0">
            <x v="3"/>
          </reference>
          <reference field="3" count="1">
            <x v="1"/>
          </reference>
        </references>
      </pivotArea>
    </format>
    <format dxfId="97">
      <pivotArea dataOnly="0" labelOnly="1" fieldPosition="0">
        <references count="2">
          <reference field="1" count="1" selected="0">
            <x v="1"/>
          </reference>
          <reference field="3" count="1">
            <x v="1"/>
          </reference>
        </references>
      </pivotArea>
    </format>
    <format dxfId="98">
      <pivotArea dataOnly="0" labelOnly="1" fieldPosition="0">
        <references count="2">
          <reference field="1" count="1" selected="0">
            <x v="7"/>
          </reference>
          <reference field="3" count="1">
            <x v="1"/>
          </reference>
        </references>
      </pivotArea>
    </format>
    <format dxfId="99">
      <pivotArea dataOnly="0" labelOnly="1" fieldPosition="0">
        <references count="2">
          <reference field="1" count="1" selected="0">
            <x v="5"/>
          </reference>
          <reference field="3" count="1">
            <x v="1"/>
          </reference>
        </references>
      </pivotArea>
    </format>
    <format dxfId="100">
      <pivotArea dataOnly="0" labelOnly="1" fieldPosition="0">
        <references count="2">
          <reference field="1" count="1" selected="0">
            <x v="6"/>
          </reference>
          <reference field="3" count="1">
            <x v="0"/>
          </reference>
        </references>
      </pivotArea>
    </format>
    <format dxfId="101">
      <pivotArea dataOnly="0" labelOnly="1" fieldPosition="0">
        <references count="2">
          <reference field="1" count="1" selected="0">
            <x v="8"/>
          </reference>
          <reference field="3" count="1">
            <x v="1"/>
          </reference>
        </references>
      </pivotArea>
    </format>
    <format dxfId="102">
      <pivotArea dataOnly="0" labelOnly="1" fieldPosition="0">
        <references count="2">
          <reference field="1" count="1" selected="0">
            <x v="9"/>
          </reference>
          <reference field="3" count="1">
            <x v="1"/>
          </reference>
        </references>
      </pivotArea>
    </format>
    <format dxfId="103">
      <pivotArea dataOnly="0" labelOnly="1" fieldPosition="0">
        <references count="2">
          <reference field="1" count="1" selected="0">
            <x v="2"/>
          </reference>
          <reference field="3" count="1">
            <x v="0"/>
          </reference>
        </references>
      </pivotArea>
    </format>
    <format dxfId="104">
      <pivotArea dataOnly="0" labelOnly="1" fieldPosition="0">
        <references count="2">
          <reference field="1" count="1" selected="0">
            <x v="0"/>
          </reference>
          <reference field="3" count="1">
            <x v="0"/>
          </reference>
        </references>
      </pivotArea>
    </format>
    <format dxfId="105">
      <pivotArea collapsedLevelsAreSubtotals="1" fieldPosition="0">
        <references count="2">
          <reference field="1" count="1" selected="0">
            <x v="3"/>
          </reference>
          <reference field="3" count="1">
            <x v="1"/>
          </reference>
        </references>
      </pivotArea>
    </format>
    <format dxfId="106">
      <pivotArea collapsedLevelsAreSubtotals="1" fieldPosition="0">
        <references count="1">
          <reference field="1" count="1">
            <x v="1"/>
          </reference>
        </references>
      </pivotArea>
    </format>
    <format dxfId="107">
      <pivotArea collapsedLevelsAreSubtotals="1" fieldPosition="0">
        <references count="2">
          <reference field="1" count="1" selected="0">
            <x v="1"/>
          </reference>
          <reference field="3" count="1">
            <x v="1"/>
          </reference>
        </references>
      </pivotArea>
    </format>
    <format dxfId="108">
      <pivotArea collapsedLevelsAreSubtotals="1" fieldPosition="0">
        <references count="1">
          <reference field="1" count="1">
            <x v="7"/>
          </reference>
        </references>
      </pivotArea>
    </format>
    <format dxfId="109">
      <pivotArea collapsedLevelsAreSubtotals="1" fieldPosition="0">
        <references count="2">
          <reference field="1" count="1" selected="0">
            <x v="7"/>
          </reference>
          <reference field="3" count="1">
            <x v="1"/>
          </reference>
        </references>
      </pivotArea>
    </format>
    <format dxfId="110">
      <pivotArea collapsedLevelsAreSubtotals="1" fieldPosition="0">
        <references count="1">
          <reference field="1" count="1">
            <x v="5"/>
          </reference>
        </references>
      </pivotArea>
    </format>
    <format dxfId="111">
      <pivotArea collapsedLevelsAreSubtotals="1" fieldPosition="0">
        <references count="2">
          <reference field="1" count="1" selected="0">
            <x v="5"/>
          </reference>
          <reference field="3" count="1">
            <x v="1"/>
          </reference>
        </references>
      </pivotArea>
    </format>
    <format dxfId="112">
      <pivotArea collapsedLevelsAreSubtotals="1" fieldPosition="0">
        <references count="1">
          <reference field="1" count="1">
            <x v="4"/>
          </reference>
        </references>
      </pivotArea>
    </format>
    <format dxfId="113">
      <pivotArea collapsedLevelsAreSubtotals="1" fieldPosition="0">
        <references count="2">
          <reference field="1" count="1" selected="0">
            <x v="4"/>
          </reference>
          <reference field="3" count="1">
            <x v="0"/>
          </reference>
        </references>
      </pivotArea>
    </format>
    <format dxfId="114">
      <pivotArea collapsedLevelsAreSubtotals="1" fieldPosition="0">
        <references count="1">
          <reference field="1" count="1">
            <x v="6"/>
          </reference>
        </references>
      </pivotArea>
    </format>
    <format dxfId="115">
      <pivotArea collapsedLevelsAreSubtotals="1" fieldPosition="0">
        <references count="2">
          <reference field="1" count="1" selected="0">
            <x v="6"/>
          </reference>
          <reference field="3" count="1">
            <x v="0"/>
          </reference>
        </references>
      </pivotArea>
    </format>
    <format dxfId="116">
      <pivotArea collapsedLevelsAreSubtotals="1" fieldPosition="0">
        <references count="1">
          <reference field="1" count="1">
            <x v="8"/>
          </reference>
        </references>
      </pivotArea>
    </format>
    <format dxfId="117">
      <pivotArea collapsedLevelsAreSubtotals="1" fieldPosition="0">
        <references count="2">
          <reference field="1" count="1" selected="0">
            <x v="8"/>
          </reference>
          <reference field="3" count="1">
            <x v="1"/>
          </reference>
        </references>
      </pivotArea>
    </format>
    <format dxfId="118">
      <pivotArea collapsedLevelsAreSubtotals="1" fieldPosition="0">
        <references count="1">
          <reference field="1" count="1">
            <x v="9"/>
          </reference>
        </references>
      </pivotArea>
    </format>
    <format dxfId="119">
      <pivotArea collapsedLevelsAreSubtotals="1" fieldPosition="0">
        <references count="2">
          <reference field="1" count="1" selected="0">
            <x v="9"/>
          </reference>
          <reference field="3" count="1">
            <x v="1"/>
          </reference>
        </references>
      </pivotArea>
    </format>
    <format dxfId="120">
      <pivotArea collapsedLevelsAreSubtotals="1" fieldPosition="0">
        <references count="1">
          <reference field="1" count="1">
            <x v="2"/>
          </reference>
        </references>
      </pivotArea>
    </format>
    <format dxfId="121">
      <pivotArea collapsedLevelsAreSubtotals="1" fieldPosition="0">
        <references count="2">
          <reference field="1" count="1" selected="0">
            <x v="2"/>
          </reference>
          <reference field="3" count="1">
            <x v="0"/>
          </reference>
        </references>
      </pivotArea>
    </format>
    <format dxfId="122">
      <pivotArea collapsedLevelsAreSubtotals="1" fieldPosition="0">
        <references count="1">
          <reference field="1" count="1">
            <x v="0"/>
          </reference>
        </references>
      </pivotArea>
    </format>
    <format dxfId="123">
      <pivotArea collapsedLevelsAreSubtotals="1" fieldPosition="0">
        <references count="2">
          <reference field="1" count="1" selected="0">
            <x v="0"/>
          </reference>
          <reference field="3" count="1">
            <x v="0"/>
          </reference>
        </references>
      </pivotArea>
    </format>
    <format dxfId="18">
      <pivotArea dataOnly="0" labelOnly="1" fieldPosition="0">
        <references count="2">
          <reference field="1" count="1" selected="0">
            <x v="4"/>
          </reference>
          <reference field="3" count="1">
            <x v="0"/>
          </reference>
        </references>
      </pivotArea>
    </format>
    <format dxfId="17">
      <pivotArea dataOnly="0" labelOnly="1" fieldPosition="0">
        <references count="2">
          <reference field="1" count="1" selected="0">
            <x v="4"/>
          </reference>
          <reference field="3" count="1">
            <x v="0"/>
          </reference>
        </references>
      </pivotArea>
    </format>
    <format dxfId="16">
      <pivotArea collapsedLevelsAreSubtotals="1" fieldPosition="0">
        <references count="1">
          <reference field="1" count="1">
            <x v="3"/>
          </reference>
        </references>
      </pivotArea>
    </format>
    <format dxfId="15">
      <pivotArea collapsedLevelsAreSubtotals="1" fieldPosition="0">
        <references count="1">
          <reference field="1" count="1">
            <x v="1"/>
          </reference>
        </references>
      </pivotArea>
    </format>
    <format dxfId="14">
      <pivotArea collapsedLevelsAreSubtotals="1" fieldPosition="0">
        <references count="1">
          <reference field="1" count="1">
            <x v="7"/>
          </reference>
        </references>
      </pivotArea>
    </format>
    <format dxfId="13">
      <pivotArea collapsedLevelsAreSubtotals="1" fieldPosition="0">
        <references count="1">
          <reference field="1" count="1">
            <x v="5"/>
          </reference>
        </references>
      </pivotArea>
    </format>
    <format dxfId="12">
      <pivotArea collapsedLevelsAreSubtotals="1" fieldPosition="0">
        <references count="1">
          <reference field="1" count="1">
            <x v="4"/>
          </reference>
        </references>
      </pivotArea>
    </format>
    <format dxfId="11">
      <pivotArea collapsedLevelsAreSubtotals="1" fieldPosition="0">
        <references count="1">
          <reference field="1" count="1">
            <x v="6"/>
          </reference>
        </references>
      </pivotArea>
    </format>
    <format dxfId="10">
      <pivotArea collapsedLevelsAreSubtotals="1" fieldPosition="0">
        <references count="1">
          <reference field="1" count="1">
            <x v="8"/>
          </reference>
        </references>
      </pivotArea>
    </format>
    <format dxfId="9">
      <pivotArea collapsedLevelsAreSubtotals="1" fieldPosition="0">
        <references count="1">
          <reference field="1" count="1">
            <x v="9"/>
          </reference>
        </references>
      </pivotArea>
    </format>
    <format dxfId="8">
      <pivotArea collapsedLevelsAreSubtotals="1" fieldPosition="0">
        <references count="1">
          <reference field="1" count="1">
            <x v="2"/>
          </reference>
        </references>
      </pivotArea>
    </format>
    <format dxfId="7">
      <pivotArea collapsedLevelsAreSubtotals="1" fieldPosition="0">
        <references count="1">
          <reference field="1" count="1">
            <x v="0"/>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User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12">
      <autoFilter ref="A1">
        <filterColumn colId="0">
          <top10 val="10" filterVal="10"/>
        </filterColumn>
      </autoFilter>
    </filter>
  </filters>
  <rowHierarchiesUsage count="2">
    <rowHierarchyUsage hierarchyUsage="0"/>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stsellers with categories.xlsx!Books">
        <x15:activeTabTopLevelEntity name="[Book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B941135-5597-4649-9880-F4F973B4F5C5}" sourceName="[Books].[Genre]">
  <pivotTables>
    <pivotTable tabId="9" name="Average( User Rating, price) per year"/>
    <pivotTable tabId="10" name="sum reviews by genre"/>
    <pivotTable tabId="13" name="reviews per year"/>
    <pivotTable tabId="13" name="Top 10"/>
  </pivotTables>
  <data>
    <olap pivotCacheId="1992789136">
      <levels count="2">
        <level uniqueName="[Books].[Genre].[(All)]" sourceCaption="(All)" count="0"/>
        <level uniqueName="[Books].[Genre].[Genre]" sourceCaption="Genre" count="2">
          <ranges>
            <range startItem="0">
              <i n="[Books].[Genre].&amp;[Fiction]" c="Fiction"/>
              <i n="[Books].[Genre].&amp;[Non Fiction]" c="Non Fiction"/>
            </range>
          </ranges>
        </level>
      </levels>
      <selections count="1">
        <selection n="[Books].[Gen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9F5735-C17F-4260-8114-88980FED11EC}" sourceName="[Books].[Year]">
  <pivotTables>
    <pivotTable tabId="9" name="Average( User Rating, price) per year"/>
    <pivotTable tabId="10" name="sum reviews by genre"/>
    <pivotTable tabId="13" name="reviews per year"/>
    <pivotTable tabId="13" name="Top 10"/>
  </pivotTables>
  <data>
    <olap pivotCacheId="1992789136">
      <levels count="2">
        <level uniqueName="[Books].[Year].[(All)]" sourceCaption="(All)" count="0"/>
        <level uniqueName="[Books].[Year].[Year]" sourceCaption="Year" count="11">
          <ranges>
            <range startItem="0">
              <i n="[Books].[Year].&amp;[2009]" c="2009"/>
              <i n="[Books].[Year].&amp;[2010]" c="2010"/>
              <i n="[Books].[Year].&amp;[2011]" c="2011"/>
              <i n="[Books].[Year].&amp;[2012]" c="2012"/>
              <i n="[Books].[Year].&amp;[2013]" c="2013"/>
              <i n="[Books].[Year].&amp;[2014]" c="2014"/>
              <i n="[Books].[Year].&amp;[2015]" c="2015"/>
              <i n="[Books].[Year].&amp;[2016]" c="2016"/>
              <i n="[Books].[Year].&amp;[2017]" c="2017"/>
              <i n="[Books].[Year].&amp;[2018]" c="2018"/>
              <i n="[Books].[Year].&amp;[2019]" c="2019"/>
            </range>
          </ranges>
        </level>
      </levels>
      <selections count="1">
        <selection n="[Book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hor" xr10:uid="{5083E544-3C28-452E-AD91-25F3020B2146}" sourceName="[Books].[Author]">
  <pivotTables>
    <pivotTable tabId="9" name="Average( User Rating, price) per year"/>
    <pivotTable tabId="10" name="sum reviews by genre"/>
    <pivotTable tabId="13" name="reviews per year"/>
    <pivotTable tabId="13" name="Top 10"/>
  </pivotTables>
  <data>
    <olap pivotCacheId="1992789136">
      <levels count="2">
        <level uniqueName="[Books].[Author].[(All)]" sourceCaption="(All)" count="0"/>
        <level uniqueName="[Books].[Author].[Author]" sourceCaption="Author" count="248">
          <ranges>
            <range startItem="0">
              <i n="[Books].[Author].&amp;[Abraham Verghese]" c="Abraham Verghese"/>
              <i n="[Books].[Author].&amp;[Adam Gasiewski]" c="Adam Gasiewski"/>
              <i n="[Books].[Author].&amp;[Adam Mansbach]" c="Adam Mansbach"/>
              <i n="[Books].[Author].&amp;[Adir Levy]" c="Adir Levy"/>
              <i n="[Books].[Author].&amp;[Admiral William H. McRaven]" c="Admiral William H. McRaven"/>
              <i n="[Books].[Author].&amp;[Adult Coloring Book Designs]" c="Adult Coloring Book Designs"/>
              <i n="[Books].[Author].&amp;[Alan Moore]" c="Alan Moore"/>
              <i n="[Books].[Author].&amp;[Alex Michaelides]" c="Alex Michaelides"/>
              <i n="[Books].[Author].&amp;[Alice Schertle]" c="Alice Schertle"/>
              <i n="[Books].[Author].&amp;[Allie Brosh]" c="Allie Brosh"/>
              <i n="[Books].[Author].&amp;[American Psychiatric Association]" c="American Psychiatric Association"/>
              <i n="[Books].[Author].&amp;[American Psychological Association]" c="American Psychological Association"/>
              <i n="[Books].[Author].&amp;[Amor Towles]" c="Amor Towles"/>
              <i n="[Books].[Author].&amp;[Amy Ramos]" c="Amy Ramos"/>
              <i n="[Books].[Author].&amp;[Amy Shields]" c="Amy Shields"/>
              <i n="[Books].[Author].&amp;[Andy Weir]" c="Andy Weir"/>
              <i n="[Books].[Author].&amp;[Angie Grace]" c="Angie Grace"/>
              <i n="[Books].[Author].&amp;[Angie Thomas]" c="Angie Thomas"/>
              <i n="[Books].[Author].&amp;[Ann Voskamp]" c="Ann Voskamp"/>
              <i n="[Books].[Author].&amp;[Ann Whitford Paul]" c="Ann Whitford Paul"/>
              <i n="[Books].[Author].&amp;[Anthony Bourdain]" c="Anthony Bourdain"/>
              <i n="[Books].[Author].&amp;[Anthony Doerr]" c="Anthony Doerr"/>
              <i n="[Books].[Author].&amp;[Atul Gawande]" c="Atul Gawande"/>
              <i n="[Books].[Author].&amp;[Audrey Niffenegger]" c="Audrey Niffenegger"/>
              <i n="[Books].[Author].&amp;[B. J. Novak]" c="B. J. Novak"/>
              <i n="[Books].[Author].&amp;[Bessel van der Kolk M.D.]" c="Bessel van der Kolk M.D."/>
              <i n="[Books].[Author].&amp;[Bill Martin Jr.]" c="Bill Martin Jr."/>
              <i n="[Books].[Author].&amp;[Bill O'Reilly]" c="Bill O'Reilly"/>
              <i n="[Books].[Author].&amp;[Bill Simmons]" c="Bill Simmons"/>
              <i n="[Books].[Author].&amp;[Blue Star Coloring]" c="Blue Star Coloring"/>
              <i n="[Books].[Author].&amp;[Bob Woodward]" c="Bob Woodward"/>
              <i n="[Books].[Author].&amp;[Brandon Stanton]" c="Brandon Stanton"/>
              <i n="[Books].[Author].&amp;[BreneÌ Brown]" c="BreneÌ Brown"/>
              <i n="[Books].[Author].&amp;[Brian Kilmeade]" c="Brian Kilmeade"/>
              <i n="[Books].[Author].&amp;[Bruce Springsteen]" c="Bruce Springsteen"/>
              <i n="[Books].[Author].&amp;[Carol S. Dweck]" c="Carol S. Dweck"/>
              <i n="[Books].[Author].&amp;[Celeste Ng]" c="Celeste Ng"/>
              <i n="[Books].[Author].&amp;[Charlaine Harris]" c="Charlaine Harris"/>
              <i n="[Books].[Author].&amp;[Charles Duhigg]" c="Charles Duhigg"/>
              <i n="[Books].[Author].&amp;[Charles Krauthammer]" c="Charles Krauthammer"/>
              <i n="[Books].[Author].&amp;[Cheryl Strayed]" c="Cheryl Strayed"/>
              <i n="[Books].[Author].&amp;[Chip Gaines]" c="Chip Gaines"/>
              <i n="[Books].[Author].&amp;[Chip Heath]" c="Chip Heath"/>
              <i n="[Books].[Author].&amp;[Chris Cleave]" c="Chris Cleave"/>
              <i n="[Books].[Author].&amp;[Chris Kyle]" c="Chris Kyle"/>
              <i n="[Books].[Author].&amp;[Chrissy Teigen]" c="Chrissy Teigen"/>
              <i n="[Books].[Author].&amp;[Christina Baker Kline]" c="Christina Baker Kline"/>
              <i n="[Books].[Author].&amp;[Christopher Paolini]" c="Christopher Paolini"/>
              <i n="[Books].[Author].&amp;[Coloring Books for Adults]" c="Coloring Books for Adults"/>
              <i n="[Books].[Author].&amp;[Craig Smith]" c="Craig Smith"/>
              <i n="[Books].[Author].&amp;[Crispin Boyer]" c="Crispin Boyer"/>
              <i n="[Books].[Author].&amp;[Dale Carnegie]" c="Dale Carnegie"/>
              <i n="[Books].[Author].&amp;[Dan Brown]" c="Dan Brown"/>
              <i n="[Books].[Author].&amp;[Daniel H. Pink]" c="Daniel H. Pink"/>
              <i n="[Books].[Author].&amp;[Daniel James Brown]" c="Daniel James Brown"/>
              <i n="[Books].[Author].&amp;[Daniel Kahneman]" c="Daniel Kahneman"/>
              <i n="[Books].[Author].&amp;[Daniel Lipkowitz]" c="Daniel Lipkowitz"/>
              <i n="[Books].[Author].&amp;[Dav Pilkey]" c="Dav Pilkey"/>
              <i n="[Books].[Author].&amp;[Dave Ramsey]" c="Dave Ramsey"/>
              <i n="[Books].[Author].&amp;[David Goggins]" c="David Goggins"/>
              <i n="[Books].[Author].&amp;[David Grann]" c="David Grann"/>
              <i n="[Books].[Author].&amp;[David McCullough]" c="David McCullough"/>
              <i n="[Books].[Author].&amp;[David Perlmutter MD]" c="David Perlmutter MD"/>
              <i n="[Books].[Author].&amp;[David Platt]" c="David Platt"/>
              <i n="[Books].[Author].&amp;[David Zinczenko]" c="David Zinczenko"/>
              <i n="[Books].[Author].&amp;[Deborah Diesen]" c="Deborah Diesen"/>
              <i n="[Books].[Author].&amp;[Delegates of the ConstitutionalÂ…]" c="Delegates of the ConstitutionalÂ…"/>
              <i n="[Books].[Author].&amp;[Delia Owens]" c="Delia Owens"/>
              <i n="[Books].[Author].&amp;[Dinah Bucholz]" c="Dinah Bucholz"/>
              <i n="[Books].[Author].&amp;[DK]" c="DK"/>
              <i n="[Books].[Author].&amp;[Don Miguel Ruiz]" c="Don Miguel Ruiz"/>
              <i n="[Books].[Author].&amp;[Donna Tartt]" c="Donna Tartt"/>
              <i n="[Books].[Author].&amp;[Doug Lemov]" c="Doug Lemov"/>
              <i n="[Books].[Author].&amp;[Dr. Seuss]" c="Dr. Seuss"/>
              <i n="[Books].[Author].&amp;[Dr. Steven R Gundry MD]" c="Dr. Steven R Gundry MD"/>
              <i n="[Books].[Author].&amp;[Drew Daywalt]" c="Drew Daywalt"/>
              <i n="[Books].[Author].&amp;[E L James]" c="E L James"/>
              <i n="[Books].[Author].&amp;[Eben Alexander]" c="Eben Alexander"/>
              <i n="[Books].[Author].&amp;[Edward Klein]" c="Edward Klein"/>
              <i n="[Books].[Author].&amp;[Edward M. Kennedy]" c="Edward M. Kennedy"/>
              <i n="[Books].[Author].&amp;[Elie Wiesel]" c="Elie Wiesel"/>
              <i n="[Books].[Author].&amp;[Elizabeth Strout]" c="Elizabeth Strout"/>
              <i n="[Books].[Author].&amp;[Emily Winfield Martin]" c="Emily Winfield Martin"/>
              <i n="[Books].[Author].&amp;[Eric Carle]" c="Eric Carle"/>
              <i n="[Books].[Author].&amp;[Eric Larson]" c="Eric Larson"/>
              <i n="[Books].[Author].&amp;[Ernest Cline]" c="Ernest Cline"/>
              <i n="[Books].[Author].&amp;[F. A. Hayek]" c="F. A. Hayek"/>
              <i n="[Books].[Author].&amp;[F. Scott Fitzgerald]" c="F. Scott Fitzgerald"/>
              <i n="[Books].[Author].&amp;[Francis Chan]" c="Francis Chan"/>
              <i n="[Books].[Author].&amp;[Fredrik Backman]" c="Fredrik Backman"/>
              <i n="[Books].[Author].&amp;[Gallup]" c="Gallup"/>
              <i n="[Books].[Author].&amp;[Garth Stein]" c="Garth Stein"/>
              <i n="[Books].[Author].&amp;[Gary Chapman]" c="Gary Chapman"/>
              <i n="[Books].[Author].&amp;[Gayle Forman]" c="Gayle Forman"/>
              <i n="[Books].[Author].&amp;[Geneen Roth]" c="Geneen Roth"/>
              <i n="[Books].[Author].&amp;[George Orwell]" c="George Orwell"/>
              <i n="[Books].[Author].&amp;[George R. R. Martin]" c="George R. R. Martin"/>
              <i n="[Books].[Author].&amp;[George R.R. Martin]" c="George R.R. Martin"/>
              <i n="[Books].[Author].&amp;[George W. Bush]" c="George W. Bush"/>
              <i n="[Books].[Author].&amp;[Giles Andreae]" c="Giles Andreae"/>
              <i n="[Books].[Author].&amp;[Gillian Flynn]" c="Gillian Flynn"/>
              <i n="[Books].[Author].&amp;[Glenn Beck]" c="Glenn Beck"/>
              <i n="[Books].[Author].&amp;[Golden Books]" c="Golden Books"/>
              <i n="[Books].[Author].&amp;[Greg Mortenson]" c="Greg Mortenson"/>
              <i n="[Books].[Author].&amp;[Harper Lee]" c="Harper Lee"/>
              <i n="[Books].[Author].&amp;[Heidi Murkoff]" c="Heidi Murkoff"/>
              <i n="[Books].[Author].&amp;[Hillary Rodham Clinton]" c="Hillary Rodham Clinton"/>
              <i n="[Books].[Author].&amp;[Hopscotch Girls]" c="Hopscotch Girls"/>
              <i n="[Books].[Author].&amp;[Howard Stern]" c="Howard Stern"/>
              <i n="[Books].[Author].&amp;[Ian K. Smith M.D.]" c="Ian K. Smith M.D."/>
              <i n="[Books].[Author].&amp;[Ina Garten]" c="Ina Garten"/>
              <i n="[Books].[Author].&amp;[J. D. Vance]" c="J. D. Vance"/>
              <i n="[Books].[Author].&amp;[J. K. Rowling]" c="J. K. Rowling"/>
              <i n="[Books].[Author].&amp;[J.K. Rowling]" c="J.K. Rowling"/>
              <i n="[Books].[Author].&amp;[James Comey]" c="James Comey"/>
              <i n="[Books].[Author].&amp;[James Dashner]" c="James Dashner"/>
              <i n="[Books].[Author].&amp;[James Patterson]" c="James Patterson"/>
              <i n="[Books].[Author].&amp;[Jay Asher]" c="Jay Asher"/>
              <i n="[Books].[Author].&amp;[Jaycee Dugard]" c="Jaycee Dugard"/>
              <i n="[Books].[Author].&amp;[Jeff Kinney]" c="Jeff Kinney"/>
              <i n="[Books].[Author].&amp;[Jen Sincero]" c="Jen Sincero"/>
              <i n="[Books].[Author].&amp;[Jennifer Smith]" c="Jennifer Smith"/>
              <i n="[Books].[Author].&amp;[Jill Twiss]" c="Jill Twiss"/>
              <i n="[Books].[Author].&amp;[Jim Collins]" c="Jim Collins"/>
              <i n="[Books].[Author].&amp;[JJ Smith]" c="JJ Smith"/>
              <i n="[Books].[Author].&amp;[Joanna Gaines]" c="Joanna Gaines"/>
              <i n="[Books].[Author].&amp;[Joel Fuhrman MD]" c="Joel Fuhrman MD"/>
              <i n="[Books].[Author].&amp;[Johanna Basford]" c="Johanna Basford"/>
              <i n="[Books].[Author].&amp;[John Green]" c="John Green"/>
              <i n="[Books].[Author].&amp;[John Grisham]" c="John Grisham"/>
              <i n="[Books].[Author].&amp;[John Heilemann]" c="John Heilemann"/>
              <i n="[Books].[Author].&amp;[Jon Meacham]" c="Jon Meacham"/>
              <i n="[Books].[Author].&amp;[Jon Stewart]" c="Jon Stewart"/>
              <i n="[Books].[Author].&amp;[Jonathan Cahn]" c="Jonathan Cahn"/>
              <i n="[Books].[Author].&amp;[Jordan B. Peterson]" c="Jordan B. Peterson"/>
              <i n="[Books].[Author].&amp;[Julia Child]" c="Julia Child"/>
              <i n="[Books].[Author].&amp;[Justin Halpern]" c="Justin Halpern"/>
              <i n="[Books].[Author].&amp;[Kathryn Stockett]" c="Kathryn Stockett"/>
              <i n="[Books].[Author].&amp;[Keith Richards]" c="Keith Richards"/>
              <i n="[Books].[Author].&amp;[Ken Follett]" c="Ken Follett"/>
              <i n="[Books].[Author].&amp;[Kevin Kwan]" c="Kevin Kwan"/>
              <i n="[Books].[Author].&amp;[Khaled Hosseini]" c="Khaled Hosseini"/>
              <i n="[Books].[Author].&amp;[Kristin Hannah]" c="Kristin Hannah"/>
              <i n="[Books].[Author].&amp;[Larry Schweikart]" c="Larry Schweikart"/>
              <i n="[Books].[Author].&amp;[Laura Hillenbrand]" c="Laura Hillenbrand"/>
              <i n="[Books].[Author].&amp;[Laurel Randolph]" c="Laurel Randolph"/>
              <i n="[Books].[Author].&amp;[Lin-Manuel Miranda]" c="Lin-Manuel Miranda"/>
              <i n="[Books].[Author].&amp;[Lysa TerKeurst]" c="Lysa TerKeurst"/>
              <i n="[Books].[Author].&amp;[M Prefontaine]" c="M Prefontaine"/>
              <i n="[Books].[Author].&amp;[Madeleine L'Engle]" c="Madeleine L'Engle"/>
              <i n="[Books].[Author].&amp;[Malcolm Gladwell]" c="Malcolm Gladwell"/>
              <i n="[Books].[Author].&amp;[Margaret Atwood]" c="Margaret Atwood"/>
              <i n="[Books].[Author].&amp;[Margaret Wise Brown]" c="Margaret Wise Brown"/>
              <i n="[Books].[Author].&amp;[Marie KondÅ]" c="Marie KondÅ"/>
              <i n="[Books].[Author].&amp;[Marjorie Sarnat]" c="Marjorie Sarnat"/>
              <i n="[Books].[Author].&amp;[Mark Hyman M.D.]" c="Mark Hyman M.D."/>
              <i n="[Books].[Author].&amp;[Mark Manson]" c="Mark Manson"/>
              <i n="[Books].[Author].&amp;[Mark Owen]" c="Mark Owen"/>
              <i n="[Books].[Author].&amp;[Mark R. Levin]" c="Mark R. Levin"/>
              <i n="[Books].[Author].&amp;[Mark Twain]" c="Mark Twain"/>
              <i n="[Books].[Author].&amp;[Markus Zusak]" c="Markus Zusak"/>
              <i n="[Books].[Author].&amp;[Marty Noble]" c="Marty Noble"/>
              <i n="[Books].[Author].&amp;[Mary Ann Shaffer]" c="Mary Ann Shaffer"/>
              <i n="[Books].[Author].&amp;[Maurice Sendak]" c="Maurice Sendak"/>
              <i n="[Books].[Author].&amp;[Melissa Hartwig Urban]" c="Melissa Hartwig Urban"/>
              <i n="[Books].[Author].&amp;[Michael Lewis]" c="Michael Lewis"/>
              <i n="[Books].[Author].&amp;[Michael Pollan]" c="Michael Pollan"/>
              <i n="[Books].[Author].&amp;[Michael Wolff]" c="Michael Wolff"/>
              <i n="[Books].[Author].&amp;[Michelle Obama]" c="Michelle Obama"/>
              <i n="[Books].[Author].&amp;[Mike Moreno]" c="Mike Moreno"/>
              <i n="[Books].[Author].&amp;[Mitch Albom]" c="Mitch Albom"/>
              <i n="[Books].[Author].&amp;[Muriel Barbery]" c="Muriel Barbery"/>
              <i n="[Books].[Author].&amp;[Naomi Kleinberg]" c="Naomi Kleinberg"/>
              <i n="[Books].[Author].&amp;[Nathan W. Pyle]" c="Nathan W. Pyle"/>
              <i n="[Books].[Author].&amp;[National Geographic Kids]" c="National Geographic Kids"/>
              <i n="[Books].[Author].&amp;[Neil deGrasse Tyson]" c="Neil deGrasse Tyson"/>
              <i n="[Books].[Author].&amp;[Paper Peony Press]" c="Paper Peony Press"/>
              <i n="[Books].[Author].&amp;[Patrick Lencioni]" c="Patrick Lencioni"/>
              <i n="[Books].[Author].&amp;[Patrick Thorpe]" c="Patrick Thorpe"/>
              <i n="[Books].[Author].&amp;[Paul Kalanithi]" c="Paul Kalanithi"/>
              <i n="[Books].[Author].&amp;[Paula Hawkins]" c="Paula Hawkins"/>
              <i n="[Books].[Author].&amp;[Paula McLain]" c="Paula McLain"/>
              <i n="[Books].[Author].&amp;[Paulo Coelho]" c="Paulo Coelho"/>
              <i n="[Books].[Author].&amp;[Pete Souza]" c="Pete Souza"/>
              <i n="[Books].[Author].&amp;[Peter A. Lillback]" c="Peter A. Lillback"/>
              <i n="[Books].[Author].&amp;[Phil Robertson]" c="Phil Robertson"/>
              <i n="[Books].[Author].&amp;[Pierre Dukan]" c="Pierre Dukan"/>
              <i n="[Books].[Author].&amp;[Pretty Simple Press]" c="Pretty Simple Press"/>
              <i n="[Books].[Author].&amp;[R. J. Palacio]" c="R. J. Palacio"/>
              <i n="[Books].[Author].&amp;[Rachel Hollis]" c="Rachel Hollis"/>
              <i n="[Books].[Author].&amp;[Raina Telgemeier]" c="Raina Telgemeier"/>
              <i n="[Books].[Author].&amp;[Randall Munroe]" c="Randall Munroe"/>
              <i n="[Books].[Author].&amp;[Randy Pausch]" c="Randy Pausch"/>
              <i n="[Books].[Author].&amp;[Ray Bradbury]" c="Ray Bradbury"/>
              <i n="[Books].[Author].&amp;[Rebecca Skloot]" c="Rebecca Skloot"/>
              <i n="[Books].[Author].&amp;[Ree Drummond]" c="Ree Drummond"/>
              <i n="[Books].[Author].&amp;[RH Disney]" c="RH Disney"/>
              <i n="[Books].[Author].&amp;[Rick Riordan]" c="Rick Riordan"/>
              <i n="[Books].[Author].&amp;[Rob Bell]" c="Rob Bell"/>
              <i n="[Books].[Author].&amp;[Rob Elliott]" c="Rob Elliott"/>
              <i n="[Books].[Author].&amp;[Robert Jordan]" c="Robert Jordan"/>
              <i n="[Books].[Author].&amp;[Robert Munsch]" c="Robert Munsch"/>
              <i n="[Books].[Author].&amp;[Rod Campbell]" c="Rod Campbell"/>
              <i n="[Books].[Author].&amp;[Roger Priddy]" c="Roger Priddy"/>
              <i n="[Books].[Author].&amp;[Ron Chernow]" c="Ron Chernow"/>
              <i n="[Books].[Author].&amp;[Rupi Kaur]" c="Rupi Kaur"/>
              <i n="[Books].[Author].&amp;[Rush Limbaugh]" c="Rush Limbaugh"/>
              <i n="[Books].[Author].&amp;[Samin Nosrat]" c="Samin Nosrat"/>
              <i n="[Books].[Author].&amp;[Sandra Boynton]" c="Sandra Boynton"/>
              <i n="[Books].[Author].&amp;[Sara Gruen]" c="Sara Gruen"/>
              <i n="[Books].[Author].&amp;[Sarah Palin]" c="Sarah Palin"/>
              <i n="[Books].[Author].&amp;[Sarah Young]" c="Sarah Young"/>
              <i n="[Books].[Author].&amp;[Sasha O'Hara]" c="Sasha O'Hara"/>
              <i n="[Books].[Author].&amp;[Scholastic]" c="Scholastic"/>
              <i n="[Books].[Author].&amp;[School Zone]" c="School Zone"/>
              <i n="[Books].[Author].&amp;[Sherri Duskey Rinker]" c="Sherri Duskey Rinker"/>
              <i n="[Books].[Author].&amp;[Sheryl Sandberg]" c="Sheryl Sandberg"/>
              <i n="[Books].[Author].&amp;[Silly Bear]" c="Silly Bear"/>
              <i n="[Books].[Author].&amp;[Stephen Kendrick]" c="Stephen Kendrick"/>
              <i n="[Books].[Author].&amp;[Stephen King]" c="Stephen King"/>
              <i n="[Books].[Author].&amp;[Stephen R. Covey]" c="Stephen R. Covey"/>
              <i n="[Books].[Author].&amp;[Stephenie Meyer]" c="Stephenie Meyer"/>
              <i n="[Books].[Author].&amp;[Steve Harvey]" c="Steve Harvey"/>
              <i n="[Books].[Author].&amp;[Steven D. Levitt]" c="Steven D. Levitt"/>
              <i n="[Books].[Author].&amp;[Stieg Larsson]" c="Stieg Larsson"/>
              <i n="[Books].[Author].&amp;[Susan Cain]" c="Susan Cain"/>
              <i n="[Books].[Author].&amp;[Suzanne Collins]" c="Suzanne Collins"/>
              <i n="[Books].[Author].&amp;[Ta-Nehisi Coates]" c="Ta-Nehisi Coates"/>
              <i n="[Books].[Author].&amp;[Tara Westover]" c="Tara Westover"/>
              <i n="[Books].[Author].&amp;[Tatiana de Rosnay]" c="Tatiana de Rosnay"/>
              <i n="[Books].[Author].&amp;[The College Board]" c="The College Board"/>
              <i n="[Books].[Author].&amp;[The Staff of The Late Show withÂ…]" c="The Staff of The Late Show withÂ…"/>
              <i n="[Books].[Author].&amp;[The Washington Post]" c="The Washington Post"/>
              <i n="[Books].[Author].&amp;[Thomas Campbell]" c="Thomas Campbell"/>
              <i n="[Books].[Author].&amp;[Thomas Piketty]" c="Thomas Piketty"/>
              <i n="[Books].[Author].&amp;[Thug Kitchen]" c="Thug Kitchen"/>
              <i n="[Books].[Author].&amp;[Timothy Ferriss]" c="Timothy Ferriss"/>
              <i n="[Books].[Author].&amp;[Tina Fey]" c="Tina Fey"/>
              <i n="[Books].[Author].&amp;[Todd Burpo]" c="Todd Burpo"/>
              <i n="[Books].[Author].&amp;[Tony Hsieh]" c="Tony Hsieh"/>
              <i n="[Books].[Author].&amp;[Tucker Carlson]" c="Tucker Carlson"/>
              <i n="[Books].[Author].&amp;[Veronica Roth]" c="Veronica Roth"/>
              <i n="[Books].[Author].&amp;[W. Cleon Skousen]" c="W. Cleon Skousen"/>
              <i n="[Books].[Author].&amp;[Walter Isaacson]" c="Walter Isaacson"/>
              <i n="[Books].[Author].&amp;[William Davis]" c="William Davis"/>
              <i n="[Books].[Author].&amp;[William P. Young]" c="William P. Young"/>
              <i n="[Books].[Author].&amp;[Wizards RPG Team]" c="Wizards RPG Team"/>
              <i n="[Books].[Author].&amp;[Zhi Gang Sha]" c="Zhi Gang Sha"/>
            </range>
          </ranges>
        </level>
      </levels>
      <selections count="1">
        <selection n="[Books].[Auth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B6B098B3-E13C-4587-9AC2-A8F13BCBD186}" cache="Slicer_Genre" caption="Genre" level="1" style="SlicerStyleOther1" rowHeight="247650"/>
  <slicer name="Year" xr10:uid="{D6C33B92-3B23-4485-BC6F-37835B268510}" cache="Slicer_Year" caption="Year" level="1" style="SlicerStyleOther1" rowHeight="247650"/>
  <slicer name="Author" xr10:uid="{E6D88BA3-9B2B-44E5-9F39-D42080CF2F30}" cache="Slicer_Author" caption="Author" startItem="225" level="1"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D5F090-9F31-4F92-A33F-3ECAFFA4363A}" name="Books" displayName="Books" ref="A1:G549" totalsRowShown="0" headerRowDxfId="420" dataDxfId="419">
  <autoFilter ref="A1:G549" xr:uid="{5FD5F090-9F31-4F92-A33F-3ECAFFA4363A}"/>
  <tableColumns count="7">
    <tableColumn id="1" xr3:uid="{A96858AE-1CA8-4B60-BCC1-56057DBA04EA}" name="Name" dataDxfId="418"/>
    <tableColumn id="2" xr3:uid="{720B02DF-9EEB-4583-A5C8-E4F677225C2C}" name="Author" dataDxfId="417"/>
    <tableColumn id="3" xr3:uid="{1B6921A0-802B-43A2-8F75-6898A26E88F0}" name="User Rating" dataDxfId="416"/>
    <tableColumn id="4" xr3:uid="{3D92BA98-0146-4583-BF89-A572551A87D3}" name="Reviews" dataDxfId="415"/>
    <tableColumn id="5" xr3:uid="{736FD555-579A-4A8C-9DFB-E01C2B50E3DC}" name="Price" dataDxfId="414"/>
    <tableColumn id="6" xr3:uid="{B8CA7587-03CA-496D-A2FF-C1A98C0F4301}" name="Year" dataDxfId="413"/>
    <tableColumn id="7" xr3:uid="{712554B1-A89D-40F5-A305-4FA3BEA26B5D}" name="Genre" dataDxfId="4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D94C2-C45C-49A2-A518-9F1BEFBF7256}" name="DataCleaning" displayName="DataCleaning" ref="A11:D17" totalsRowShown="0" headerRowDxfId="411" dataDxfId="409" headerRowBorderDxfId="410" tableBorderDxfId="408" totalsRowBorderDxfId="407">
  <autoFilter ref="A11:D17" xr:uid="{2F8D94C2-C45C-49A2-A518-9F1BEFBF7256}"/>
  <tableColumns count="4">
    <tableColumn id="1" xr3:uid="{AC82B529-90C9-4653-8AF0-0E05F09DF87D}" name="Step" dataDxfId="406"/>
    <tableColumn id="2" xr3:uid="{299DBAE6-8FB5-4539-9CC5-941CBB135E0C}" name="Description" dataDxfId="405"/>
    <tableColumn id="3" xr3:uid="{ECD5A04B-6CC2-48C9-94AD-D2EC666B2591}" name="Status" dataDxfId="404"/>
    <tableColumn id="4" xr3:uid="{D01C5078-3FD2-4030-8ED2-FDA674761F01}" name="Notes" dataDxfId="403"/>
  </tableColumns>
  <tableStyleInfo name="TableStyleDark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A12CF7-F59A-4818-AC9B-49A5937161EB}" name="ExploratoryDataAnalysis" displayName="ExploratoryDataAnalysis" ref="I14:K29" totalsRowShown="0" headerRowDxfId="402" dataDxfId="401">
  <autoFilter ref="I14:K29" xr:uid="{A0A12CF7-F59A-4818-AC9B-49A5937161EB}"/>
  <tableColumns count="3">
    <tableColumn id="1" xr3:uid="{86BD20A0-1A02-4AA0-B2C4-4B226B9911E8}" name="step" dataDxfId="400"/>
    <tableColumn id="2" xr3:uid="{CE7DDA51-6A49-48F5-9413-EC00D9536026}" name="The requirement" dataDxfId="399"/>
    <tableColumn id="3" xr3:uid="{AA252BE7-5FD4-4D5B-B264-157F8C912B10}" name="Answers" dataDxfId="398">
      <calculatedColumnFormula>AVERAGE(Books[Price])</calculatedColumnFormula>
    </tableColumn>
  </tableColumns>
  <tableStyleInfo name="TableStyleDark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F43E1C-D10C-40DD-BE97-B2D97FFED18B}" name="Table5" displayName="Table5" ref="S18:V25" totalsRowShown="0" headerRowDxfId="397" dataDxfId="396">
  <autoFilter ref="S18:V25" xr:uid="{43F43E1C-D10C-40DD-BE97-B2D97FFED18B}"/>
  <tableColumns count="4">
    <tableColumn id="1" xr3:uid="{86C30386-85F7-4FF8-962F-1A3556301F9F}" name="Step" dataDxfId="395"/>
    <tableColumn id="2" xr3:uid="{D0A44C70-DAC4-4262-96C6-0113C5AAA255}" name="Description" dataDxfId="394"/>
    <tableColumn id="3" xr3:uid="{5D81F196-5384-4AAF-9001-5266C3546986}" name="Statue" dataDxfId="393"/>
    <tableColumn id="4" xr3:uid="{D86C5B11-877D-4C55-AF8D-C7C84B91CDA7}" name="Notes" dataDxfId="392"/>
  </tableColumns>
  <tableStyleInfo name="TableStyleDark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BDEE-F5CE-446B-89D8-660E5AF8474A}">
  <dimension ref="A1:G551"/>
  <sheetViews>
    <sheetView workbookViewId="0">
      <selection activeCell="I3" sqref="I3"/>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v>4.7</v>
      </c>
      <c r="D2">
        <v>17350</v>
      </c>
      <c r="E2">
        <v>8</v>
      </c>
      <c r="F2">
        <v>2016</v>
      </c>
      <c r="G2" t="s">
        <v>9</v>
      </c>
    </row>
    <row r="3" spans="1:7" x14ac:dyDescent="0.3">
      <c r="A3" t="s">
        <v>10</v>
      </c>
      <c r="B3" t="s">
        <v>11</v>
      </c>
      <c r="C3">
        <v>4.5999999999999996</v>
      </c>
      <c r="D3">
        <v>2052</v>
      </c>
      <c r="E3">
        <v>22</v>
      </c>
      <c r="F3">
        <v>2011</v>
      </c>
      <c r="G3" t="s">
        <v>12</v>
      </c>
    </row>
    <row r="4" spans="1:7" x14ac:dyDescent="0.3">
      <c r="A4" t="s">
        <v>13</v>
      </c>
      <c r="B4" t="s">
        <v>14</v>
      </c>
      <c r="C4">
        <v>4.7</v>
      </c>
      <c r="D4">
        <v>18979</v>
      </c>
      <c r="E4">
        <v>15</v>
      </c>
      <c r="F4">
        <v>2018</v>
      </c>
      <c r="G4" t="s">
        <v>9</v>
      </c>
    </row>
    <row r="5" spans="1:7" x14ac:dyDescent="0.3">
      <c r="A5" t="s">
        <v>15</v>
      </c>
      <c r="B5" t="s">
        <v>16</v>
      </c>
      <c r="C5">
        <v>4.7</v>
      </c>
      <c r="D5">
        <v>21424</v>
      </c>
      <c r="E5">
        <v>6</v>
      </c>
      <c r="F5">
        <v>2017</v>
      </c>
      <c r="G5" t="s">
        <v>12</v>
      </c>
    </row>
    <row r="6" spans="1:7" x14ac:dyDescent="0.3">
      <c r="A6" t="s">
        <v>17</v>
      </c>
      <c r="B6" t="s">
        <v>18</v>
      </c>
      <c r="C6">
        <v>4.8</v>
      </c>
      <c r="D6">
        <v>7665</v>
      </c>
      <c r="E6">
        <v>12</v>
      </c>
      <c r="F6">
        <v>2019</v>
      </c>
      <c r="G6" t="s">
        <v>9</v>
      </c>
    </row>
    <row r="7" spans="1:7" x14ac:dyDescent="0.3">
      <c r="A7" t="s">
        <v>19</v>
      </c>
      <c r="B7" t="s">
        <v>20</v>
      </c>
      <c r="C7">
        <v>4.4000000000000004</v>
      </c>
      <c r="D7">
        <v>12643</v>
      </c>
      <c r="E7">
        <v>11</v>
      </c>
      <c r="F7">
        <v>2011</v>
      </c>
      <c r="G7" t="s">
        <v>12</v>
      </c>
    </row>
    <row r="8" spans="1:7" x14ac:dyDescent="0.3">
      <c r="A8" t="s">
        <v>21</v>
      </c>
      <c r="B8" t="s">
        <v>20</v>
      </c>
      <c r="C8">
        <v>4.7</v>
      </c>
      <c r="D8">
        <v>19735</v>
      </c>
      <c r="E8">
        <v>30</v>
      </c>
      <c r="F8">
        <v>2014</v>
      </c>
      <c r="G8" t="s">
        <v>12</v>
      </c>
    </row>
    <row r="9" spans="1:7" x14ac:dyDescent="0.3">
      <c r="A9" t="s">
        <v>22</v>
      </c>
      <c r="B9" t="s">
        <v>23</v>
      </c>
      <c r="C9">
        <v>4.7</v>
      </c>
      <c r="D9">
        <v>19699</v>
      </c>
      <c r="E9">
        <v>15</v>
      </c>
      <c r="F9">
        <v>2017</v>
      </c>
      <c r="G9" t="s">
        <v>12</v>
      </c>
    </row>
    <row r="10" spans="1:7" x14ac:dyDescent="0.3">
      <c r="A10" t="s">
        <v>24</v>
      </c>
      <c r="B10" t="s">
        <v>25</v>
      </c>
      <c r="C10">
        <v>4.7</v>
      </c>
      <c r="D10">
        <v>5983</v>
      </c>
      <c r="E10">
        <v>3</v>
      </c>
      <c r="F10">
        <v>2018</v>
      </c>
      <c r="G10" t="s">
        <v>9</v>
      </c>
    </row>
    <row r="11" spans="1:7" x14ac:dyDescent="0.3">
      <c r="A11" t="s">
        <v>26</v>
      </c>
      <c r="B11" t="s">
        <v>27</v>
      </c>
      <c r="C11">
        <v>4.5999999999999996</v>
      </c>
      <c r="D11">
        <v>23848</v>
      </c>
      <c r="E11">
        <v>8</v>
      </c>
      <c r="F11">
        <v>2016</v>
      </c>
      <c r="G11" t="s">
        <v>12</v>
      </c>
    </row>
    <row r="12" spans="1:7" x14ac:dyDescent="0.3">
      <c r="A12" t="s">
        <v>26</v>
      </c>
      <c r="B12" t="s">
        <v>27</v>
      </c>
      <c r="C12">
        <v>4.5999999999999996</v>
      </c>
      <c r="D12">
        <v>23848</v>
      </c>
      <c r="E12">
        <v>8</v>
      </c>
      <c r="F12">
        <v>2017</v>
      </c>
      <c r="G12" t="s">
        <v>12</v>
      </c>
    </row>
    <row r="13" spans="1:7" x14ac:dyDescent="0.3">
      <c r="A13" t="s">
        <v>28</v>
      </c>
      <c r="B13" t="s">
        <v>29</v>
      </c>
      <c r="C13">
        <v>4.5999999999999996</v>
      </c>
      <c r="D13">
        <v>460</v>
      </c>
      <c r="E13">
        <v>2</v>
      </c>
      <c r="F13">
        <v>2010</v>
      </c>
      <c r="G13" t="s">
        <v>9</v>
      </c>
    </row>
    <row r="14" spans="1:7" x14ac:dyDescent="0.3">
      <c r="A14" t="s">
        <v>30</v>
      </c>
      <c r="B14" t="s">
        <v>31</v>
      </c>
      <c r="C14">
        <v>4.5999999999999996</v>
      </c>
      <c r="D14">
        <v>4149</v>
      </c>
      <c r="E14">
        <v>32</v>
      </c>
      <c r="F14">
        <v>2011</v>
      </c>
      <c r="G14" t="s">
        <v>9</v>
      </c>
    </row>
    <row r="15" spans="1:7" x14ac:dyDescent="0.3">
      <c r="A15" t="s">
        <v>32</v>
      </c>
      <c r="B15" t="s">
        <v>33</v>
      </c>
      <c r="C15">
        <v>4.5</v>
      </c>
      <c r="D15">
        <v>5153</v>
      </c>
      <c r="E15">
        <v>5</v>
      </c>
      <c r="F15">
        <v>2018</v>
      </c>
      <c r="G15" t="s">
        <v>12</v>
      </c>
    </row>
    <row r="16" spans="1:7" x14ac:dyDescent="0.3">
      <c r="A16" t="s">
        <v>34</v>
      </c>
      <c r="B16" t="s">
        <v>35</v>
      </c>
      <c r="C16">
        <v>4.5999999999999996</v>
      </c>
      <c r="D16">
        <v>5013</v>
      </c>
      <c r="E16">
        <v>17</v>
      </c>
      <c r="F16">
        <v>2009</v>
      </c>
      <c r="G16" t="s">
        <v>9</v>
      </c>
    </row>
    <row r="17" spans="1:7" x14ac:dyDescent="0.3">
      <c r="A17" t="s">
        <v>36</v>
      </c>
      <c r="B17" t="s">
        <v>37</v>
      </c>
      <c r="C17">
        <v>4.5</v>
      </c>
      <c r="D17">
        <v>2313</v>
      </c>
      <c r="E17">
        <v>4</v>
      </c>
      <c r="F17">
        <v>2016</v>
      </c>
      <c r="G17" t="s">
        <v>9</v>
      </c>
    </row>
    <row r="18" spans="1:7" x14ac:dyDescent="0.3">
      <c r="A18" t="s">
        <v>38</v>
      </c>
      <c r="B18" t="s">
        <v>39</v>
      </c>
      <c r="C18">
        <v>4.5999999999999996</v>
      </c>
      <c r="D18">
        <v>2925</v>
      </c>
      <c r="E18">
        <v>6</v>
      </c>
      <c r="F18">
        <v>2015</v>
      </c>
      <c r="G18" t="s">
        <v>9</v>
      </c>
    </row>
    <row r="19" spans="1:7" x14ac:dyDescent="0.3">
      <c r="A19" t="s">
        <v>40</v>
      </c>
      <c r="B19" t="s">
        <v>39</v>
      </c>
      <c r="C19">
        <v>4.4000000000000004</v>
      </c>
      <c r="D19">
        <v>2951</v>
      </c>
      <c r="E19">
        <v>6</v>
      </c>
      <c r="F19">
        <v>2015</v>
      </c>
      <c r="G19" t="s">
        <v>9</v>
      </c>
    </row>
    <row r="20" spans="1:7" x14ac:dyDescent="0.3">
      <c r="A20" t="s">
        <v>41</v>
      </c>
      <c r="B20" t="s">
        <v>42</v>
      </c>
      <c r="C20">
        <v>4.5</v>
      </c>
      <c r="D20">
        <v>2426</v>
      </c>
      <c r="E20">
        <v>8</v>
      </c>
      <c r="F20">
        <v>2015</v>
      </c>
      <c r="G20" t="s">
        <v>9</v>
      </c>
    </row>
    <row r="21" spans="1:7" x14ac:dyDescent="0.3">
      <c r="A21" t="s">
        <v>43</v>
      </c>
      <c r="B21" t="s">
        <v>44</v>
      </c>
      <c r="C21">
        <v>4.8</v>
      </c>
      <c r="D21">
        <v>9198</v>
      </c>
      <c r="E21">
        <v>13</v>
      </c>
      <c r="F21">
        <v>2016</v>
      </c>
      <c r="G21" t="s">
        <v>9</v>
      </c>
    </row>
    <row r="22" spans="1:7" x14ac:dyDescent="0.3">
      <c r="A22" t="s">
        <v>45</v>
      </c>
      <c r="B22" t="s">
        <v>46</v>
      </c>
      <c r="C22">
        <v>4.5999999999999996</v>
      </c>
      <c r="D22">
        <v>36348</v>
      </c>
      <c r="E22">
        <v>14</v>
      </c>
      <c r="F22">
        <v>2014</v>
      </c>
      <c r="G22" t="s">
        <v>12</v>
      </c>
    </row>
    <row r="23" spans="1:7" x14ac:dyDescent="0.3">
      <c r="A23" t="s">
        <v>45</v>
      </c>
      <c r="B23" t="s">
        <v>46</v>
      </c>
      <c r="C23">
        <v>4.5999999999999996</v>
      </c>
      <c r="D23">
        <v>36348</v>
      </c>
      <c r="E23">
        <v>14</v>
      </c>
      <c r="F23">
        <v>2015</v>
      </c>
      <c r="G23" t="s">
        <v>12</v>
      </c>
    </row>
    <row r="24" spans="1:7" x14ac:dyDescent="0.3">
      <c r="A24" t="s">
        <v>47</v>
      </c>
      <c r="B24" t="s">
        <v>48</v>
      </c>
      <c r="C24">
        <v>3.9</v>
      </c>
      <c r="D24">
        <v>6310</v>
      </c>
      <c r="E24">
        <v>13</v>
      </c>
      <c r="F24">
        <v>2013</v>
      </c>
      <c r="G24" t="s">
        <v>12</v>
      </c>
    </row>
    <row r="25" spans="1:7" x14ac:dyDescent="0.3">
      <c r="A25" t="s">
        <v>49</v>
      </c>
      <c r="B25" t="s">
        <v>50</v>
      </c>
      <c r="C25">
        <v>4.5999999999999996</v>
      </c>
      <c r="D25">
        <v>15921</v>
      </c>
      <c r="E25">
        <v>9</v>
      </c>
      <c r="F25">
        <v>2015</v>
      </c>
      <c r="G25" t="s">
        <v>9</v>
      </c>
    </row>
    <row r="26" spans="1:7" x14ac:dyDescent="0.3">
      <c r="A26" t="s">
        <v>51</v>
      </c>
      <c r="B26" t="s">
        <v>52</v>
      </c>
      <c r="C26">
        <v>4.3</v>
      </c>
      <c r="D26">
        <v>12159</v>
      </c>
      <c r="E26">
        <v>13</v>
      </c>
      <c r="F26">
        <v>2013</v>
      </c>
      <c r="G26" t="s">
        <v>12</v>
      </c>
    </row>
    <row r="27" spans="1:7" x14ac:dyDescent="0.3">
      <c r="A27" t="s">
        <v>53</v>
      </c>
      <c r="B27" t="s">
        <v>54</v>
      </c>
      <c r="C27">
        <v>4.5999999999999996</v>
      </c>
      <c r="D27">
        <v>798</v>
      </c>
      <c r="E27">
        <v>5</v>
      </c>
      <c r="F27">
        <v>2009</v>
      </c>
      <c r="G27" t="s">
        <v>9</v>
      </c>
    </row>
    <row r="28" spans="1:7" x14ac:dyDescent="0.3">
      <c r="A28" t="s">
        <v>55</v>
      </c>
      <c r="B28" t="s">
        <v>56</v>
      </c>
      <c r="C28">
        <v>4.7</v>
      </c>
      <c r="D28">
        <v>9374</v>
      </c>
      <c r="E28">
        <v>9</v>
      </c>
      <c r="F28">
        <v>2017</v>
      </c>
      <c r="G28" t="s">
        <v>9</v>
      </c>
    </row>
    <row r="29" spans="1:7" x14ac:dyDescent="0.3">
      <c r="A29" t="s">
        <v>57</v>
      </c>
      <c r="B29" t="s">
        <v>58</v>
      </c>
      <c r="C29">
        <v>4.2</v>
      </c>
      <c r="D29">
        <v>491</v>
      </c>
      <c r="E29">
        <v>14</v>
      </c>
      <c r="F29">
        <v>2010</v>
      </c>
      <c r="G29" t="s">
        <v>9</v>
      </c>
    </row>
    <row r="30" spans="1:7" x14ac:dyDescent="0.3">
      <c r="A30" t="s">
        <v>59</v>
      </c>
      <c r="B30" t="s">
        <v>60</v>
      </c>
      <c r="C30">
        <v>4.5999999999999996</v>
      </c>
      <c r="D30">
        <v>5360</v>
      </c>
      <c r="E30">
        <v>5</v>
      </c>
      <c r="F30">
        <v>2015</v>
      </c>
      <c r="G30" t="s">
        <v>9</v>
      </c>
    </row>
    <row r="31" spans="1:7" x14ac:dyDescent="0.3">
      <c r="A31" t="s">
        <v>61</v>
      </c>
      <c r="B31" t="s">
        <v>62</v>
      </c>
      <c r="C31">
        <v>4.5999999999999996</v>
      </c>
      <c r="D31">
        <v>1909</v>
      </c>
      <c r="E31">
        <v>11</v>
      </c>
      <c r="F31">
        <v>2015</v>
      </c>
      <c r="G31" t="s">
        <v>9</v>
      </c>
    </row>
    <row r="32" spans="1:7" x14ac:dyDescent="0.3">
      <c r="A32" t="s">
        <v>63</v>
      </c>
      <c r="B32" t="s">
        <v>64</v>
      </c>
      <c r="C32">
        <v>4.8</v>
      </c>
      <c r="D32">
        <v>1296</v>
      </c>
      <c r="E32">
        <v>24</v>
      </c>
      <c r="F32">
        <v>2012</v>
      </c>
      <c r="G32" t="s">
        <v>9</v>
      </c>
    </row>
    <row r="33" spans="1:7" x14ac:dyDescent="0.3">
      <c r="A33" t="s">
        <v>65</v>
      </c>
      <c r="B33" t="s">
        <v>64</v>
      </c>
      <c r="C33">
        <v>4.7</v>
      </c>
      <c r="D33">
        <v>615</v>
      </c>
      <c r="E33">
        <v>21</v>
      </c>
      <c r="F33">
        <v>2010</v>
      </c>
      <c r="G33" t="s">
        <v>9</v>
      </c>
    </row>
    <row r="34" spans="1:7" x14ac:dyDescent="0.3">
      <c r="A34" t="s">
        <v>66</v>
      </c>
      <c r="B34" t="s">
        <v>67</v>
      </c>
      <c r="C34">
        <v>4.8</v>
      </c>
      <c r="D34">
        <v>61133</v>
      </c>
      <c r="E34">
        <v>11</v>
      </c>
      <c r="F34">
        <v>2018</v>
      </c>
      <c r="G34" t="s">
        <v>9</v>
      </c>
    </row>
    <row r="35" spans="1:7" x14ac:dyDescent="0.3">
      <c r="A35" t="s">
        <v>66</v>
      </c>
      <c r="B35" t="s">
        <v>67</v>
      </c>
      <c r="C35">
        <v>4.8</v>
      </c>
      <c r="D35">
        <v>61133</v>
      </c>
      <c r="E35">
        <v>11</v>
      </c>
      <c r="F35">
        <v>2019</v>
      </c>
      <c r="G35" t="s">
        <v>9</v>
      </c>
    </row>
    <row r="36" spans="1:7" x14ac:dyDescent="0.3">
      <c r="A36" t="s">
        <v>68</v>
      </c>
      <c r="B36" t="s">
        <v>69</v>
      </c>
      <c r="C36">
        <v>4.8</v>
      </c>
      <c r="D36">
        <v>11113</v>
      </c>
      <c r="E36">
        <v>15</v>
      </c>
      <c r="F36">
        <v>2015</v>
      </c>
      <c r="G36" t="s">
        <v>9</v>
      </c>
    </row>
    <row r="37" spans="1:7" x14ac:dyDescent="0.3">
      <c r="A37" t="s">
        <v>70</v>
      </c>
      <c r="B37" t="s">
        <v>71</v>
      </c>
      <c r="C37">
        <v>4.7</v>
      </c>
      <c r="D37">
        <v>10070</v>
      </c>
      <c r="E37">
        <v>13</v>
      </c>
      <c r="F37">
        <v>2015</v>
      </c>
      <c r="G37" t="s">
        <v>9</v>
      </c>
    </row>
    <row r="38" spans="1:7" x14ac:dyDescent="0.3">
      <c r="A38" t="s">
        <v>70</v>
      </c>
      <c r="B38" t="s">
        <v>71</v>
      </c>
      <c r="C38">
        <v>4.7</v>
      </c>
      <c r="D38">
        <v>10070</v>
      </c>
      <c r="E38">
        <v>13</v>
      </c>
      <c r="F38">
        <v>2016</v>
      </c>
      <c r="G38" t="s">
        <v>9</v>
      </c>
    </row>
    <row r="39" spans="1:7" x14ac:dyDescent="0.3">
      <c r="A39" t="s">
        <v>72</v>
      </c>
      <c r="B39" t="s">
        <v>73</v>
      </c>
      <c r="C39">
        <v>4.7</v>
      </c>
      <c r="D39">
        <v>3729</v>
      </c>
      <c r="E39">
        <v>18</v>
      </c>
      <c r="F39">
        <v>2016</v>
      </c>
      <c r="G39" t="s">
        <v>9</v>
      </c>
    </row>
    <row r="40" spans="1:7" x14ac:dyDescent="0.3">
      <c r="A40" t="s">
        <v>74</v>
      </c>
      <c r="B40" t="s">
        <v>75</v>
      </c>
      <c r="C40">
        <v>4.5999999999999996</v>
      </c>
      <c r="D40">
        <v>9769</v>
      </c>
      <c r="E40">
        <v>13</v>
      </c>
      <c r="F40">
        <v>2009</v>
      </c>
      <c r="G40" t="s">
        <v>12</v>
      </c>
    </row>
    <row r="41" spans="1:7" x14ac:dyDescent="0.3">
      <c r="A41" t="s">
        <v>76</v>
      </c>
      <c r="B41" t="s">
        <v>54</v>
      </c>
      <c r="C41">
        <v>4.5</v>
      </c>
      <c r="D41">
        <v>471</v>
      </c>
      <c r="E41">
        <v>8</v>
      </c>
      <c r="F41">
        <v>2010</v>
      </c>
      <c r="G41" t="s">
        <v>9</v>
      </c>
    </row>
    <row r="42" spans="1:7" x14ac:dyDescent="0.3">
      <c r="A42" t="s">
        <v>77</v>
      </c>
      <c r="B42" t="s">
        <v>78</v>
      </c>
      <c r="C42">
        <v>4.9000000000000004</v>
      </c>
      <c r="D42">
        <v>14344</v>
      </c>
      <c r="E42">
        <v>5</v>
      </c>
      <c r="F42">
        <v>2017</v>
      </c>
      <c r="G42" t="s">
        <v>12</v>
      </c>
    </row>
    <row r="43" spans="1:7" x14ac:dyDescent="0.3">
      <c r="A43" t="s">
        <v>77</v>
      </c>
      <c r="B43" t="s">
        <v>78</v>
      </c>
      <c r="C43">
        <v>4.9000000000000004</v>
      </c>
      <c r="D43">
        <v>14344</v>
      </c>
      <c r="E43">
        <v>5</v>
      </c>
      <c r="F43">
        <v>2019</v>
      </c>
      <c r="G43" t="s">
        <v>12</v>
      </c>
    </row>
    <row r="44" spans="1:7" x14ac:dyDescent="0.3">
      <c r="A44" t="s">
        <v>79</v>
      </c>
      <c r="B44" t="s">
        <v>80</v>
      </c>
      <c r="C44">
        <v>4.8</v>
      </c>
      <c r="D44">
        <v>4505</v>
      </c>
      <c r="E44">
        <v>0</v>
      </c>
      <c r="F44">
        <v>2011</v>
      </c>
      <c r="G44" t="s">
        <v>12</v>
      </c>
    </row>
    <row r="45" spans="1:7" x14ac:dyDescent="0.3">
      <c r="A45" t="s">
        <v>81</v>
      </c>
      <c r="B45" t="s">
        <v>82</v>
      </c>
      <c r="C45">
        <v>4.5999999999999996</v>
      </c>
      <c r="D45">
        <v>10369</v>
      </c>
      <c r="E45">
        <v>4</v>
      </c>
      <c r="F45">
        <v>2016</v>
      </c>
      <c r="G45" t="s">
        <v>9</v>
      </c>
    </row>
    <row r="46" spans="1:7" x14ac:dyDescent="0.3">
      <c r="A46" t="s">
        <v>83</v>
      </c>
      <c r="B46" t="s">
        <v>84</v>
      </c>
      <c r="C46">
        <v>4.8</v>
      </c>
      <c r="D46">
        <v>16244</v>
      </c>
      <c r="E46">
        <v>18</v>
      </c>
      <c r="F46">
        <v>2019</v>
      </c>
      <c r="G46" t="s">
        <v>9</v>
      </c>
    </row>
    <row r="47" spans="1:7" x14ac:dyDescent="0.3">
      <c r="A47" t="s">
        <v>85</v>
      </c>
      <c r="B47" t="s">
        <v>86</v>
      </c>
      <c r="C47">
        <v>4.5</v>
      </c>
      <c r="D47">
        <v>2884</v>
      </c>
      <c r="E47">
        <v>28</v>
      </c>
      <c r="F47">
        <v>2014</v>
      </c>
      <c r="G47" t="s">
        <v>9</v>
      </c>
    </row>
    <row r="48" spans="1:7" x14ac:dyDescent="0.3">
      <c r="A48" t="s">
        <v>87</v>
      </c>
      <c r="B48" t="s">
        <v>88</v>
      </c>
      <c r="C48">
        <v>4.7</v>
      </c>
      <c r="D48">
        <v>22614</v>
      </c>
      <c r="E48">
        <v>11</v>
      </c>
      <c r="F48">
        <v>2010</v>
      </c>
      <c r="G48" t="s">
        <v>12</v>
      </c>
    </row>
    <row r="49" spans="1:7" x14ac:dyDescent="0.3">
      <c r="A49" t="s">
        <v>87</v>
      </c>
      <c r="B49" t="s">
        <v>88</v>
      </c>
      <c r="C49">
        <v>4.7</v>
      </c>
      <c r="D49">
        <v>22614</v>
      </c>
      <c r="E49">
        <v>11</v>
      </c>
      <c r="F49">
        <v>2011</v>
      </c>
      <c r="G49" t="s">
        <v>12</v>
      </c>
    </row>
    <row r="50" spans="1:7" x14ac:dyDescent="0.3">
      <c r="A50" t="s">
        <v>87</v>
      </c>
      <c r="B50" t="s">
        <v>88</v>
      </c>
      <c r="C50">
        <v>4.7</v>
      </c>
      <c r="D50">
        <v>22614</v>
      </c>
      <c r="E50">
        <v>11</v>
      </c>
      <c r="F50">
        <v>2012</v>
      </c>
      <c r="G50" t="s">
        <v>12</v>
      </c>
    </row>
    <row r="51" spans="1:7" x14ac:dyDescent="0.3">
      <c r="A51" t="s">
        <v>89</v>
      </c>
      <c r="B51" t="s">
        <v>90</v>
      </c>
      <c r="C51">
        <v>4.7</v>
      </c>
      <c r="D51">
        <v>4761</v>
      </c>
      <c r="E51">
        <v>16</v>
      </c>
      <c r="F51">
        <v>2016</v>
      </c>
      <c r="G51" t="s">
        <v>9</v>
      </c>
    </row>
    <row r="52" spans="1:7" x14ac:dyDescent="0.3">
      <c r="A52" t="s">
        <v>91</v>
      </c>
      <c r="B52" t="s">
        <v>92</v>
      </c>
      <c r="C52">
        <v>4.7</v>
      </c>
      <c r="D52">
        <v>1542</v>
      </c>
      <c r="E52">
        <v>14</v>
      </c>
      <c r="F52">
        <v>2009</v>
      </c>
      <c r="G52" t="s">
        <v>9</v>
      </c>
    </row>
    <row r="53" spans="1:7" x14ac:dyDescent="0.3">
      <c r="A53" t="s">
        <v>91</v>
      </c>
      <c r="B53" t="s">
        <v>92</v>
      </c>
      <c r="C53">
        <v>4.7</v>
      </c>
      <c r="D53">
        <v>1542</v>
      </c>
      <c r="E53">
        <v>14</v>
      </c>
      <c r="F53">
        <v>2010</v>
      </c>
      <c r="G53" t="s">
        <v>9</v>
      </c>
    </row>
    <row r="54" spans="1:7" x14ac:dyDescent="0.3">
      <c r="A54" t="s">
        <v>91</v>
      </c>
      <c r="B54" t="s">
        <v>92</v>
      </c>
      <c r="C54">
        <v>4.7</v>
      </c>
      <c r="D54">
        <v>1542</v>
      </c>
      <c r="E54">
        <v>14</v>
      </c>
      <c r="F54">
        <v>2011</v>
      </c>
      <c r="G54" t="s">
        <v>9</v>
      </c>
    </row>
    <row r="55" spans="1:7" x14ac:dyDescent="0.3">
      <c r="A55" t="s">
        <v>93</v>
      </c>
      <c r="B55" t="s">
        <v>94</v>
      </c>
      <c r="C55">
        <v>4.3</v>
      </c>
      <c r="D55">
        <v>6143</v>
      </c>
      <c r="E55">
        <v>8</v>
      </c>
      <c r="F55">
        <v>2018</v>
      </c>
      <c r="G55" t="s">
        <v>12</v>
      </c>
    </row>
    <row r="56" spans="1:7" x14ac:dyDescent="0.3">
      <c r="A56" t="s">
        <v>95</v>
      </c>
      <c r="B56" t="s">
        <v>96</v>
      </c>
      <c r="C56">
        <v>4.8</v>
      </c>
      <c r="D56">
        <v>4022</v>
      </c>
      <c r="E56">
        <v>4</v>
      </c>
      <c r="F56">
        <v>2015</v>
      </c>
      <c r="G56" t="s">
        <v>9</v>
      </c>
    </row>
    <row r="57" spans="1:7" x14ac:dyDescent="0.3">
      <c r="A57" t="s">
        <v>97</v>
      </c>
      <c r="B57" t="s">
        <v>96</v>
      </c>
      <c r="C57">
        <v>4.8</v>
      </c>
      <c r="D57">
        <v>3871</v>
      </c>
      <c r="E57">
        <v>5</v>
      </c>
      <c r="F57">
        <v>2015</v>
      </c>
      <c r="G57" t="s">
        <v>9</v>
      </c>
    </row>
    <row r="58" spans="1:7" x14ac:dyDescent="0.3">
      <c r="A58" t="s">
        <v>98</v>
      </c>
      <c r="B58" t="s">
        <v>99</v>
      </c>
      <c r="C58">
        <v>4.5999999999999996</v>
      </c>
      <c r="D58">
        <v>4866</v>
      </c>
      <c r="E58">
        <v>11</v>
      </c>
      <c r="F58">
        <v>2010</v>
      </c>
      <c r="G58" t="s">
        <v>12</v>
      </c>
    </row>
    <row r="59" spans="1:7" x14ac:dyDescent="0.3">
      <c r="A59" t="s">
        <v>98</v>
      </c>
      <c r="B59" t="s">
        <v>99</v>
      </c>
      <c r="C59">
        <v>4.5999999999999996</v>
      </c>
      <c r="D59">
        <v>4866</v>
      </c>
      <c r="E59">
        <v>11</v>
      </c>
      <c r="F59">
        <v>2011</v>
      </c>
      <c r="G59" t="s">
        <v>12</v>
      </c>
    </row>
    <row r="60" spans="1:7" x14ac:dyDescent="0.3">
      <c r="A60" t="s">
        <v>100</v>
      </c>
      <c r="B60" t="s">
        <v>101</v>
      </c>
      <c r="C60">
        <v>4.8</v>
      </c>
      <c r="D60">
        <v>1329</v>
      </c>
      <c r="E60">
        <v>10</v>
      </c>
      <c r="F60">
        <v>2013</v>
      </c>
      <c r="G60" t="s">
        <v>9</v>
      </c>
    </row>
    <row r="61" spans="1:7" x14ac:dyDescent="0.3">
      <c r="A61" t="s">
        <v>102</v>
      </c>
      <c r="B61" t="s">
        <v>103</v>
      </c>
      <c r="C61">
        <v>4.4000000000000004</v>
      </c>
      <c r="D61">
        <v>4642</v>
      </c>
      <c r="E61">
        <v>13</v>
      </c>
      <c r="F61">
        <v>2013</v>
      </c>
      <c r="G61" t="s">
        <v>9</v>
      </c>
    </row>
    <row r="62" spans="1:7" x14ac:dyDescent="0.3">
      <c r="A62" t="s">
        <v>104</v>
      </c>
      <c r="B62" t="s">
        <v>105</v>
      </c>
      <c r="C62">
        <v>4.5999999999999996</v>
      </c>
      <c r="D62">
        <v>1541</v>
      </c>
      <c r="E62">
        <v>4</v>
      </c>
      <c r="F62">
        <v>2009</v>
      </c>
      <c r="G62" t="s">
        <v>12</v>
      </c>
    </row>
    <row r="63" spans="1:7" x14ac:dyDescent="0.3">
      <c r="A63" t="s">
        <v>106</v>
      </c>
      <c r="B63" t="s">
        <v>105</v>
      </c>
      <c r="C63">
        <v>4.3</v>
      </c>
      <c r="D63">
        <v>1924</v>
      </c>
      <c r="E63">
        <v>8</v>
      </c>
      <c r="F63">
        <v>2010</v>
      </c>
      <c r="G63" t="s">
        <v>12</v>
      </c>
    </row>
    <row r="64" spans="1:7" x14ac:dyDescent="0.3">
      <c r="A64" t="s">
        <v>107</v>
      </c>
      <c r="B64" t="s">
        <v>105</v>
      </c>
      <c r="C64">
        <v>4.2</v>
      </c>
      <c r="D64">
        <v>2094</v>
      </c>
      <c r="E64">
        <v>4</v>
      </c>
      <c r="F64">
        <v>2011</v>
      </c>
      <c r="G64" t="s">
        <v>12</v>
      </c>
    </row>
    <row r="65" spans="1:7" x14ac:dyDescent="0.3">
      <c r="A65" t="s">
        <v>108</v>
      </c>
      <c r="B65" t="s">
        <v>109</v>
      </c>
      <c r="C65">
        <v>4.8</v>
      </c>
      <c r="D65">
        <v>10922</v>
      </c>
      <c r="E65">
        <v>5</v>
      </c>
      <c r="F65">
        <v>2015</v>
      </c>
      <c r="G65" t="s">
        <v>12</v>
      </c>
    </row>
    <row r="66" spans="1:7" x14ac:dyDescent="0.3">
      <c r="A66" t="s">
        <v>108</v>
      </c>
      <c r="B66" t="s">
        <v>109</v>
      </c>
      <c r="C66">
        <v>4.8</v>
      </c>
      <c r="D66">
        <v>10922</v>
      </c>
      <c r="E66">
        <v>5</v>
      </c>
      <c r="F66">
        <v>2016</v>
      </c>
      <c r="G66" t="s">
        <v>12</v>
      </c>
    </row>
    <row r="67" spans="1:7" x14ac:dyDescent="0.3">
      <c r="A67" t="s">
        <v>108</v>
      </c>
      <c r="B67" t="s">
        <v>109</v>
      </c>
      <c r="C67">
        <v>4.8</v>
      </c>
      <c r="D67">
        <v>10922</v>
      </c>
      <c r="E67">
        <v>5</v>
      </c>
      <c r="F67">
        <v>2017</v>
      </c>
      <c r="G67" t="s">
        <v>12</v>
      </c>
    </row>
    <row r="68" spans="1:7" x14ac:dyDescent="0.3">
      <c r="A68" t="s">
        <v>108</v>
      </c>
      <c r="B68" t="s">
        <v>109</v>
      </c>
      <c r="C68">
        <v>4.8</v>
      </c>
      <c r="D68">
        <v>10922</v>
      </c>
      <c r="E68">
        <v>5</v>
      </c>
      <c r="F68">
        <v>2018</v>
      </c>
      <c r="G68" t="s">
        <v>12</v>
      </c>
    </row>
    <row r="69" spans="1:7" x14ac:dyDescent="0.3">
      <c r="A69" t="s">
        <v>110</v>
      </c>
      <c r="B69" t="s">
        <v>111</v>
      </c>
      <c r="C69">
        <v>4.5999999999999996</v>
      </c>
      <c r="D69">
        <v>2137</v>
      </c>
      <c r="E69">
        <v>17</v>
      </c>
      <c r="F69">
        <v>2010</v>
      </c>
      <c r="G69" t="s">
        <v>9</v>
      </c>
    </row>
    <row r="70" spans="1:7" x14ac:dyDescent="0.3">
      <c r="A70" t="s">
        <v>112</v>
      </c>
      <c r="B70" t="s">
        <v>113</v>
      </c>
      <c r="C70">
        <v>4.5999999999999996</v>
      </c>
      <c r="D70">
        <v>1651</v>
      </c>
      <c r="E70">
        <v>15</v>
      </c>
      <c r="F70">
        <v>2010</v>
      </c>
      <c r="G70" t="s">
        <v>9</v>
      </c>
    </row>
    <row r="71" spans="1:7" x14ac:dyDescent="0.3">
      <c r="A71" t="s">
        <v>114</v>
      </c>
      <c r="B71" t="s">
        <v>115</v>
      </c>
      <c r="C71">
        <v>4.5</v>
      </c>
      <c r="D71">
        <v>6679</v>
      </c>
      <c r="E71">
        <v>105</v>
      </c>
      <c r="F71">
        <v>2013</v>
      </c>
      <c r="G71" t="s">
        <v>9</v>
      </c>
    </row>
    <row r="72" spans="1:7" x14ac:dyDescent="0.3">
      <c r="A72" t="s">
        <v>114</v>
      </c>
      <c r="B72" t="s">
        <v>115</v>
      </c>
      <c r="C72">
        <v>4.5</v>
      </c>
      <c r="D72">
        <v>6679</v>
      </c>
      <c r="E72">
        <v>105</v>
      </c>
      <c r="F72">
        <v>2014</v>
      </c>
      <c r="G72" t="s">
        <v>9</v>
      </c>
    </row>
    <row r="73" spans="1:7" x14ac:dyDescent="0.3">
      <c r="A73" t="s">
        <v>116</v>
      </c>
      <c r="B73" t="s">
        <v>80</v>
      </c>
      <c r="C73">
        <v>4.8</v>
      </c>
      <c r="D73">
        <v>6812</v>
      </c>
      <c r="E73">
        <v>0</v>
      </c>
      <c r="F73">
        <v>2013</v>
      </c>
      <c r="G73" t="s">
        <v>12</v>
      </c>
    </row>
    <row r="74" spans="1:7" x14ac:dyDescent="0.3">
      <c r="A74" t="s">
        <v>117</v>
      </c>
      <c r="B74" t="s">
        <v>80</v>
      </c>
      <c r="C74">
        <v>4.8</v>
      </c>
      <c r="D74">
        <v>3837</v>
      </c>
      <c r="E74">
        <v>15</v>
      </c>
      <c r="F74">
        <v>2009</v>
      </c>
      <c r="G74" t="s">
        <v>12</v>
      </c>
    </row>
    <row r="75" spans="1:7" x14ac:dyDescent="0.3">
      <c r="A75" t="s">
        <v>118</v>
      </c>
      <c r="B75" t="s">
        <v>80</v>
      </c>
      <c r="C75">
        <v>4.8</v>
      </c>
      <c r="D75">
        <v>6540</v>
      </c>
      <c r="E75">
        <v>22</v>
      </c>
      <c r="F75">
        <v>2014</v>
      </c>
      <c r="G75" t="s">
        <v>12</v>
      </c>
    </row>
    <row r="76" spans="1:7" x14ac:dyDescent="0.3">
      <c r="A76" t="s">
        <v>119</v>
      </c>
      <c r="B76" t="s">
        <v>120</v>
      </c>
      <c r="C76">
        <v>4.5999999999999996</v>
      </c>
      <c r="D76">
        <v>7955</v>
      </c>
      <c r="E76">
        <v>5</v>
      </c>
      <c r="F76">
        <v>2019</v>
      </c>
      <c r="G76" t="s">
        <v>9</v>
      </c>
    </row>
    <row r="77" spans="1:7" x14ac:dyDescent="0.3">
      <c r="A77" t="s">
        <v>121</v>
      </c>
      <c r="B77" t="s">
        <v>48</v>
      </c>
      <c r="C77">
        <v>4.5999999999999996</v>
      </c>
      <c r="D77">
        <v>27098</v>
      </c>
      <c r="E77">
        <v>15</v>
      </c>
      <c r="F77">
        <v>2013</v>
      </c>
      <c r="G77" t="s">
        <v>12</v>
      </c>
    </row>
    <row r="78" spans="1:7" x14ac:dyDescent="0.3">
      <c r="A78" t="s">
        <v>121</v>
      </c>
      <c r="B78" t="s">
        <v>48</v>
      </c>
      <c r="C78">
        <v>4.5999999999999996</v>
      </c>
      <c r="D78">
        <v>27098</v>
      </c>
      <c r="E78">
        <v>15</v>
      </c>
      <c r="F78">
        <v>2014</v>
      </c>
      <c r="G78" t="s">
        <v>12</v>
      </c>
    </row>
    <row r="79" spans="1:7" x14ac:dyDescent="0.3">
      <c r="A79" t="s">
        <v>122</v>
      </c>
      <c r="B79" t="s">
        <v>48</v>
      </c>
      <c r="C79">
        <v>4.5</v>
      </c>
      <c r="D79">
        <v>17684</v>
      </c>
      <c r="E79">
        <v>6</v>
      </c>
      <c r="F79">
        <v>2014</v>
      </c>
      <c r="G79" t="s">
        <v>12</v>
      </c>
    </row>
    <row r="80" spans="1:7" x14ac:dyDescent="0.3">
      <c r="A80" t="s">
        <v>123</v>
      </c>
      <c r="B80" t="s">
        <v>124</v>
      </c>
      <c r="C80">
        <v>4.5999999999999996</v>
      </c>
      <c r="D80">
        <v>37</v>
      </c>
      <c r="E80">
        <v>6</v>
      </c>
      <c r="F80">
        <v>2009</v>
      </c>
      <c r="G80" t="s">
        <v>9</v>
      </c>
    </row>
    <row r="81" spans="1:7" x14ac:dyDescent="0.3">
      <c r="A81" t="s">
        <v>125</v>
      </c>
      <c r="B81" t="s">
        <v>11</v>
      </c>
      <c r="C81">
        <v>4.7</v>
      </c>
      <c r="D81">
        <v>15845</v>
      </c>
      <c r="E81">
        <v>13</v>
      </c>
      <c r="F81">
        <v>2013</v>
      </c>
      <c r="G81" t="s">
        <v>12</v>
      </c>
    </row>
    <row r="82" spans="1:7" x14ac:dyDescent="0.3">
      <c r="A82" t="s">
        <v>126</v>
      </c>
      <c r="B82" t="s">
        <v>80</v>
      </c>
      <c r="C82">
        <v>4.8</v>
      </c>
      <c r="D82">
        <v>3181</v>
      </c>
      <c r="E82">
        <v>12</v>
      </c>
      <c r="F82">
        <v>2009</v>
      </c>
      <c r="G82" t="s">
        <v>12</v>
      </c>
    </row>
    <row r="83" spans="1:7" x14ac:dyDescent="0.3">
      <c r="A83" t="s">
        <v>127</v>
      </c>
      <c r="B83" t="s">
        <v>128</v>
      </c>
      <c r="C83">
        <v>4.9000000000000004</v>
      </c>
      <c r="D83">
        <v>5062</v>
      </c>
      <c r="E83">
        <v>6</v>
      </c>
      <c r="F83">
        <v>2018</v>
      </c>
      <c r="G83" t="s">
        <v>12</v>
      </c>
    </row>
    <row r="84" spans="1:7" x14ac:dyDescent="0.3">
      <c r="A84" t="s">
        <v>129</v>
      </c>
      <c r="B84" t="s">
        <v>128</v>
      </c>
      <c r="C84">
        <v>4.9000000000000004</v>
      </c>
      <c r="D84">
        <v>4786</v>
      </c>
      <c r="E84">
        <v>8</v>
      </c>
      <c r="F84">
        <v>2017</v>
      </c>
      <c r="G84" t="s">
        <v>12</v>
      </c>
    </row>
    <row r="85" spans="1:7" x14ac:dyDescent="0.3">
      <c r="A85" t="s">
        <v>130</v>
      </c>
      <c r="B85" t="s">
        <v>128</v>
      </c>
      <c r="C85">
        <v>4.9000000000000004</v>
      </c>
      <c r="D85">
        <v>7235</v>
      </c>
      <c r="E85">
        <v>4</v>
      </c>
      <c r="F85">
        <v>2018</v>
      </c>
      <c r="G85" t="s">
        <v>12</v>
      </c>
    </row>
    <row r="86" spans="1:7" x14ac:dyDescent="0.3">
      <c r="A86" t="s">
        <v>130</v>
      </c>
      <c r="B86" t="s">
        <v>128</v>
      </c>
      <c r="C86">
        <v>4.9000000000000004</v>
      </c>
      <c r="D86">
        <v>7235</v>
      </c>
      <c r="E86">
        <v>4</v>
      </c>
      <c r="F86">
        <v>2019</v>
      </c>
      <c r="G86" t="s">
        <v>12</v>
      </c>
    </row>
    <row r="87" spans="1:7" x14ac:dyDescent="0.3">
      <c r="A87" t="s">
        <v>131</v>
      </c>
      <c r="B87" t="s">
        <v>128</v>
      </c>
      <c r="C87">
        <v>4.9000000000000004</v>
      </c>
      <c r="D87">
        <v>12619</v>
      </c>
      <c r="E87">
        <v>8</v>
      </c>
      <c r="F87">
        <v>2019</v>
      </c>
      <c r="G87" t="s">
        <v>12</v>
      </c>
    </row>
    <row r="88" spans="1:7" x14ac:dyDescent="0.3">
      <c r="A88" t="s">
        <v>132</v>
      </c>
      <c r="B88" t="s">
        <v>128</v>
      </c>
      <c r="C88">
        <v>4.9000000000000004</v>
      </c>
      <c r="D88">
        <v>9089</v>
      </c>
      <c r="E88">
        <v>8</v>
      </c>
      <c r="F88">
        <v>2019</v>
      </c>
      <c r="G88" t="s">
        <v>12</v>
      </c>
    </row>
    <row r="89" spans="1:7" x14ac:dyDescent="0.3">
      <c r="A89" t="s">
        <v>133</v>
      </c>
      <c r="B89" t="s">
        <v>128</v>
      </c>
      <c r="C89">
        <v>4.9000000000000004</v>
      </c>
      <c r="D89">
        <v>5470</v>
      </c>
      <c r="E89">
        <v>6</v>
      </c>
      <c r="F89">
        <v>2018</v>
      </c>
      <c r="G89" t="s">
        <v>12</v>
      </c>
    </row>
    <row r="90" spans="1:7" x14ac:dyDescent="0.3">
      <c r="A90" t="s">
        <v>134</v>
      </c>
      <c r="B90" t="s">
        <v>80</v>
      </c>
      <c r="C90">
        <v>4.8</v>
      </c>
      <c r="D90">
        <v>5118</v>
      </c>
      <c r="E90">
        <v>20</v>
      </c>
      <c r="F90">
        <v>2016</v>
      </c>
      <c r="G90" t="s">
        <v>12</v>
      </c>
    </row>
    <row r="91" spans="1:7" x14ac:dyDescent="0.3">
      <c r="A91" t="s">
        <v>135</v>
      </c>
      <c r="B91" t="s">
        <v>136</v>
      </c>
      <c r="C91">
        <v>4.5999999999999996</v>
      </c>
      <c r="D91">
        <v>2134</v>
      </c>
      <c r="E91">
        <v>5</v>
      </c>
      <c r="F91">
        <v>2015</v>
      </c>
      <c r="G91" t="s">
        <v>9</v>
      </c>
    </row>
    <row r="92" spans="1:7" x14ac:dyDescent="0.3">
      <c r="A92" t="s">
        <v>137</v>
      </c>
      <c r="B92" t="s">
        <v>138</v>
      </c>
      <c r="C92">
        <v>4.5</v>
      </c>
      <c r="D92">
        <v>2525</v>
      </c>
      <c r="E92">
        <v>16</v>
      </c>
      <c r="F92">
        <v>2010</v>
      </c>
      <c r="G92" t="s">
        <v>9</v>
      </c>
    </row>
    <row r="93" spans="1:7" x14ac:dyDescent="0.3">
      <c r="A93" t="s">
        <v>139</v>
      </c>
      <c r="B93" t="s">
        <v>140</v>
      </c>
      <c r="C93">
        <v>4.5</v>
      </c>
      <c r="D93">
        <v>720</v>
      </c>
      <c r="E93">
        <v>1</v>
      </c>
      <c r="F93">
        <v>2009</v>
      </c>
      <c r="G93" t="s">
        <v>9</v>
      </c>
    </row>
    <row r="94" spans="1:7" x14ac:dyDescent="0.3">
      <c r="A94" t="s">
        <v>141</v>
      </c>
      <c r="B94" t="s">
        <v>140</v>
      </c>
      <c r="C94">
        <v>4.3</v>
      </c>
      <c r="D94">
        <v>956</v>
      </c>
      <c r="E94">
        <v>14</v>
      </c>
      <c r="F94">
        <v>2009</v>
      </c>
      <c r="G94" t="s">
        <v>9</v>
      </c>
    </row>
    <row r="95" spans="1:7" x14ac:dyDescent="0.3">
      <c r="A95" t="s">
        <v>142</v>
      </c>
      <c r="B95" t="s">
        <v>143</v>
      </c>
      <c r="C95">
        <v>4.5</v>
      </c>
      <c r="D95">
        <v>6346</v>
      </c>
      <c r="E95">
        <v>9</v>
      </c>
      <c r="F95">
        <v>2011</v>
      </c>
      <c r="G95" t="s">
        <v>9</v>
      </c>
    </row>
    <row r="96" spans="1:7" x14ac:dyDescent="0.3">
      <c r="A96" t="s">
        <v>142</v>
      </c>
      <c r="B96" t="s">
        <v>143</v>
      </c>
      <c r="C96">
        <v>4.5</v>
      </c>
      <c r="D96">
        <v>6346</v>
      </c>
      <c r="E96">
        <v>9</v>
      </c>
      <c r="F96">
        <v>2012</v>
      </c>
      <c r="G96" t="s">
        <v>9</v>
      </c>
    </row>
    <row r="97" spans="1:7" x14ac:dyDescent="0.3">
      <c r="A97" t="s">
        <v>144</v>
      </c>
      <c r="B97" t="s">
        <v>75</v>
      </c>
      <c r="C97">
        <v>4.7</v>
      </c>
      <c r="D97">
        <v>5505</v>
      </c>
      <c r="E97">
        <v>7</v>
      </c>
      <c r="F97">
        <v>2009</v>
      </c>
      <c r="G97" t="s">
        <v>12</v>
      </c>
    </row>
    <row r="98" spans="1:7" x14ac:dyDescent="0.3">
      <c r="A98" t="s">
        <v>145</v>
      </c>
      <c r="B98" t="s">
        <v>75</v>
      </c>
      <c r="C98">
        <v>4.7</v>
      </c>
      <c r="D98">
        <v>5505</v>
      </c>
      <c r="E98">
        <v>18</v>
      </c>
      <c r="F98">
        <v>2009</v>
      </c>
      <c r="G98" t="s">
        <v>12</v>
      </c>
    </row>
    <row r="99" spans="1:7" x14ac:dyDescent="0.3">
      <c r="A99" t="s">
        <v>146</v>
      </c>
      <c r="B99" t="s">
        <v>147</v>
      </c>
      <c r="C99">
        <v>4.7</v>
      </c>
      <c r="D99">
        <v>28729</v>
      </c>
      <c r="E99">
        <v>15</v>
      </c>
      <c r="F99">
        <v>2018</v>
      </c>
      <c r="G99" t="s">
        <v>9</v>
      </c>
    </row>
    <row r="100" spans="1:7" x14ac:dyDescent="0.3">
      <c r="A100" t="s">
        <v>146</v>
      </c>
      <c r="B100" t="s">
        <v>147</v>
      </c>
      <c r="C100">
        <v>4.7</v>
      </c>
      <c r="D100">
        <v>28729</v>
      </c>
      <c r="E100">
        <v>15</v>
      </c>
      <c r="F100">
        <v>2019</v>
      </c>
      <c r="G100" t="s">
        <v>9</v>
      </c>
    </row>
    <row r="101" spans="1:7" x14ac:dyDescent="0.3">
      <c r="A101" t="s">
        <v>148</v>
      </c>
      <c r="B101" t="s">
        <v>149</v>
      </c>
      <c r="C101">
        <v>4.7</v>
      </c>
      <c r="D101">
        <v>5413</v>
      </c>
      <c r="E101">
        <v>9</v>
      </c>
      <c r="F101">
        <v>2015</v>
      </c>
      <c r="G101" t="s">
        <v>9</v>
      </c>
    </row>
    <row r="102" spans="1:7" x14ac:dyDescent="0.3">
      <c r="A102" t="s">
        <v>150</v>
      </c>
      <c r="B102" t="s">
        <v>151</v>
      </c>
      <c r="C102">
        <v>4.5999999999999996</v>
      </c>
      <c r="D102">
        <v>10721</v>
      </c>
      <c r="E102">
        <v>8</v>
      </c>
      <c r="F102">
        <v>2016</v>
      </c>
      <c r="G102" t="s">
        <v>12</v>
      </c>
    </row>
    <row r="103" spans="1:7" x14ac:dyDescent="0.3">
      <c r="A103" t="s">
        <v>150</v>
      </c>
      <c r="B103" t="s">
        <v>151</v>
      </c>
      <c r="C103">
        <v>4.5999999999999996</v>
      </c>
      <c r="D103">
        <v>10721</v>
      </c>
      <c r="E103">
        <v>8</v>
      </c>
      <c r="F103">
        <v>2018</v>
      </c>
      <c r="G103" t="s">
        <v>12</v>
      </c>
    </row>
    <row r="104" spans="1:7" x14ac:dyDescent="0.3">
      <c r="A104" t="s">
        <v>152</v>
      </c>
      <c r="B104" t="s">
        <v>153</v>
      </c>
      <c r="C104">
        <v>4.7</v>
      </c>
      <c r="D104">
        <v>4370</v>
      </c>
      <c r="E104">
        <v>15</v>
      </c>
      <c r="F104">
        <v>2016</v>
      </c>
      <c r="G104" t="s">
        <v>12</v>
      </c>
    </row>
    <row r="105" spans="1:7" x14ac:dyDescent="0.3">
      <c r="A105" t="s">
        <v>154</v>
      </c>
      <c r="B105" t="s">
        <v>155</v>
      </c>
      <c r="C105">
        <v>4.4000000000000004</v>
      </c>
      <c r="D105">
        <v>6042</v>
      </c>
      <c r="E105">
        <v>2</v>
      </c>
      <c r="F105">
        <v>2018</v>
      </c>
      <c r="G105" t="s">
        <v>9</v>
      </c>
    </row>
    <row r="106" spans="1:7" x14ac:dyDescent="0.3">
      <c r="A106" t="s">
        <v>156</v>
      </c>
      <c r="B106" t="s">
        <v>157</v>
      </c>
      <c r="C106">
        <v>4.4000000000000004</v>
      </c>
      <c r="D106">
        <v>23631</v>
      </c>
      <c r="E106">
        <v>7</v>
      </c>
      <c r="F106">
        <v>2012</v>
      </c>
      <c r="G106" t="s">
        <v>12</v>
      </c>
    </row>
    <row r="107" spans="1:7" x14ac:dyDescent="0.3">
      <c r="A107" t="s">
        <v>158</v>
      </c>
      <c r="B107" t="s">
        <v>157</v>
      </c>
      <c r="C107">
        <v>4.5</v>
      </c>
      <c r="D107">
        <v>20262</v>
      </c>
      <c r="E107">
        <v>11</v>
      </c>
      <c r="F107">
        <v>2012</v>
      </c>
      <c r="G107" t="s">
        <v>12</v>
      </c>
    </row>
    <row r="108" spans="1:7" x14ac:dyDescent="0.3">
      <c r="A108" t="s">
        <v>159</v>
      </c>
      <c r="B108" t="s">
        <v>157</v>
      </c>
      <c r="C108">
        <v>3.8</v>
      </c>
      <c r="D108">
        <v>47265</v>
      </c>
      <c r="E108">
        <v>14</v>
      </c>
      <c r="F108">
        <v>2012</v>
      </c>
      <c r="G108" t="s">
        <v>12</v>
      </c>
    </row>
    <row r="109" spans="1:7" x14ac:dyDescent="0.3">
      <c r="A109" t="s">
        <v>159</v>
      </c>
      <c r="B109" t="s">
        <v>157</v>
      </c>
      <c r="C109">
        <v>3.8</v>
      </c>
      <c r="D109">
        <v>47265</v>
      </c>
      <c r="E109">
        <v>14</v>
      </c>
      <c r="F109">
        <v>2013</v>
      </c>
      <c r="G109" t="s">
        <v>12</v>
      </c>
    </row>
    <row r="110" spans="1:7" x14ac:dyDescent="0.3">
      <c r="A110" t="s">
        <v>160</v>
      </c>
      <c r="B110" t="s">
        <v>157</v>
      </c>
      <c r="C110">
        <v>4.5</v>
      </c>
      <c r="D110">
        <v>13964</v>
      </c>
      <c r="E110">
        <v>32</v>
      </c>
      <c r="F110">
        <v>2012</v>
      </c>
      <c r="G110" t="s">
        <v>12</v>
      </c>
    </row>
    <row r="111" spans="1:7" x14ac:dyDescent="0.3">
      <c r="A111" t="s">
        <v>161</v>
      </c>
      <c r="B111" t="s">
        <v>162</v>
      </c>
      <c r="C111">
        <v>4.2</v>
      </c>
      <c r="D111">
        <v>13677</v>
      </c>
      <c r="E111">
        <v>6</v>
      </c>
      <c r="F111">
        <v>2018</v>
      </c>
      <c r="G111" t="s">
        <v>9</v>
      </c>
    </row>
    <row r="112" spans="1:7" x14ac:dyDescent="0.3">
      <c r="A112" t="s">
        <v>163</v>
      </c>
      <c r="B112" t="s">
        <v>164</v>
      </c>
      <c r="C112">
        <v>4.7</v>
      </c>
      <c r="D112">
        <v>17323</v>
      </c>
      <c r="E112">
        <v>4</v>
      </c>
      <c r="F112">
        <v>2014</v>
      </c>
      <c r="G112" t="s">
        <v>9</v>
      </c>
    </row>
    <row r="113" spans="1:7" x14ac:dyDescent="0.3">
      <c r="A113" t="s">
        <v>163</v>
      </c>
      <c r="B113" t="s">
        <v>164</v>
      </c>
      <c r="C113">
        <v>4.7</v>
      </c>
      <c r="D113">
        <v>17323</v>
      </c>
      <c r="E113">
        <v>4</v>
      </c>
      <c r="F113">
        <v>2015</v>
      </c>
      <c r="G113" t="s">
        <v>9</v>
      </c>
    </row>
    <row r="114" spans="1:7" x14ac:dyDescent="0.3">
      <c r="A114" t="s">
        <v>163</v>
      </c>
      <c r="B114" t="s">
        <v>164</v>
      </c>
      <c r="C114">
        <v>4.7</v>
      </c>
      <c r="D114">
        <v>17323</v>
      </c>
      <c r="E114">
        <v>4</v>
      </c>
      <c r="F114">
        <v>2016</v>
      </c>
      <c r="G114" t="s">
        <v>9</v>
      </c>
    </row>
    <row r="115" spans="1:7" x14ac:dyDescent="0.3">
      <c r="A115" t="s">
        <v>163</v>
      </c>
      <c r="B115" t="s">
        <v>164</v>
      </c>
      <c r="C115">
        <v>4.7</v>
      </c>
      <c r="D115">
        <v>17323</v>
      </c>
      <c r="E115">
        <v>4</v>
      </c>
      <c r="F115">
        <v>2017</v>
      </c>
      <c r="G115" t="s">
        <v>9</v>
      </c>
    </row>
    <row r="116" spans="1:7" x14ac:dyDescent="0.3">
      <c r="A116" t="s">
        <v>163</v>
      </c>
      <c r="B116" t="s">
        <v>164</v>
      </c>
      <c r="C116">
        <v>4.7</v>
      </c>
      <c r="D116">
        <v>17323</v>
      </c>
      <c r="E116">
        <v>4</v>
      </c>
      <c r="F116">
        <v>2018</v>
      </c>
      <c r="G116" t="s">
        <v>9</v>
      </c>
    </row>
    <row r="117" spans="1:7" x14ac:dyDescent="0.3">
      <c r="A117" t="s">
        <v>165</v>
      </c>
      <c r="B117" t="s">
        <v>166</v>
      </c>
      <c r="C117">
        <v>4.4000000000000004</v>
      </c>
      <c r="D117">
        <v>1555</v>
      </c>
      <c r="E117">
        <v>9</v>
      </c>
      <c r="F117">
        <v>2010</v>
      </c>
      <c r="G117" t="s">
        <v>9</v>
      </c>
    </row>
    <row r="118" spans="1:7" x14ac:dyDescent="0.3">
      <c r="A118" t="s">
        <v>167</v>
      </c>
      <c r="B118" t="s">
        <v>168</v>
      </c>
      <c r="C118">
        <v>4.7</v>
      </c>
      <c r="D118">
        <v>3642</v>
      </c>
      <c r="E118">
        <v>0</v>
      </c>
      <c r="F118">
        <v>2014</v>
      </c>
      <c r="G118" t="s">
        <v>12</v>
      </c>
    </row>
    <row r="119" spans="1:7" x14ac:dyDescent="0.3">
      <c r="A119" t="s">
        <v>169</v>
      </c>
      <c r="B119" t="s">
        <v>170</v>
      </c>
      <c r="C119">
        <v>4.4000000000000004</v>
      </c>
      <c r="D119">
        <v>1215</v>
      </c>
      <c r="E119">
        <v>9</v>
      </c>
      <c r="F119">
        <v>2010</v>
      </c>
      <c r="G119" t="s">
        <v>9</v>
      </c>
    </row>
    <row r="120" spans="1:7" x14ac:dyDescent="0.3">
      <c r="A120" t="s">
        <v>171</v>
      </c>
      <c r="B120" t="s">
        <v>172</v>
      </c>
      <c r="C120">
        <v>4.5999999999999996</v>
      </c>
      <c r="D120">
        <v>5594</v>
      </c>
      <c r="E120">
        <v>5</v>
      </c>
      <c r="F120">
        <v>2011</v>
      </c>
      <c r="G120" t="s">
        <v>12</v>
      </c>
    </row>
    <row r="121" spans="1:7" x14ac:dyDescent="0.3">
      <c r="A121" t="s">
        <v>171</v>
      </c>
      <c r="B121" t="s">
        <v>172</v>
      </c>
      <c r="C121">
        <v>4.5999999999999996</v>
      </c>
      <c r="D121">
        <v>5594</v>
      </c>
      <c r="E121">
        <v>5</v>
      </c>
      <c r="F121">
        <v>2012</v>
      </c>
      <c r="G121" t="s">
        <v>12</v>
      </c>
    </row>
    <row r="122" spans="1:7" x14ac:dyDescent="0.3">
      <c r="A122" t="s">
        <v>171</v>
      </c>
      <c r="B122" t="s">
        <v>172</v>
      </c>
      <c r="C122">
        <v>4.5999999999999996</v>
      </c>
      <c r="D122">
        <v>5594</v>
      </c>
      <c r="E122">
        <v>5</v>
      </c>
      <c r="F122">
        <v>2013</v>
      </c>
      <c r="G122" t="s">
        <v>12</v>
      </c>
    </row>
    <row r="123" spans="1:7" x14ac:dyDescent="0.3">
      <c r="A123" t="s">
        <v>173</v>
      </c>
      <c r="B123" t="s">
        <v>174</v>
      </c>
      <c r="C123">
        <v>4.5</v>
      </c>
      <c r="D123">
        <v>408</v>
      </c>
      <c r="E123">
        <v>20</v>
      </c>
      <c r="F123">
        <v>2010</v>
      </c>
      <c r="G123" t="s">
        <v>9</v>
      </c>
    </row>
    <row r="124" spans="1:7" x14ac:dyDescent="0.3">
      <c r="A124" t="s">
        <v>175</v>
      </c>
      <c r="B124" t="s">
        <v>176</v>
      </c>
      <c r="C124">
        <v>4.5999999999999996</v>
      </c>
      <c r="D124">
        <v>4799</v>
      </c>
      <c r="E124">
        <v>16</v>
      </c>
      <c r="F124">
        <v>2013</v>
      </c>
      <c r="G124" t="s">
        <v>9</v>
      </c>
    </row>
    <row r="125" spans="1:7" x14ac:dyDescent="0.3">
      <c r="A125" t="s">
        <v>177</v>
      </c>
      <c r="B125" t="s">
        <v>178</v>
      </c>
      <c r="C125">
        <v>4.8</v>
      </c>
      <c r="D125">
        <v>14038</v>
      </c>
      <c r="E125">
        <v>4</v>
      </c>
      <c r="F125">
        <v>2015</v>
      </c>
      <c r="G125" t="s">
        <v>12</v>
      </c>
    </row>
    <row r="126" spans="1:7" x14ac:dyDescent="0.3">
      <c r="A126" t="s">
        <v>177</v>
      </c>
      <c r="B126" t="s">
        <v>178</v>
      </c>
      <c r="C126">
        <v>4.8</v>
      </c>
      <c r="D126">
        <v>14038</v>
      </c>
      <c r="E126">
        <v>4</v>
      </c>
      <c r="F126">
        <v>2016</v>
      </c>
      <c r="G126" t="s">
        <v>12</v>
      </c>
    </row>
    <row r="127" spans="1:7" x14ac:dyDescent="0.3">
      <c r="A127" t="s">
        <v>177</v>
      </c>
      <c r="B127" t="s">
        <v>178</v>
      </c>
      <c r="C127">
        <v>4.8</v>
      </c>
      <c r="D127">
        <v>14038</v>
      </c>
      <c r="E127">
        <v>4</v>
      </c>
      <c r="F127">
        <v>2017</v>
      </c>
      <c r="G127" t="s">
        <v>12</v>
      </c>
    </row>
    <row r="128" spans="1:7" x14ac:dyDescent="0.3">
      <c r="A128" t="s">
        <v>177</v>
      </c>
      <c r="B128" t="s">
        <v>178</v>
      </c>
      <c r="C128">
        <v>4.8</v>
      </c>
      <c r="D128">
        <v>14038</v>
      </c>
      <c r="E128">
        <v>4</v>
      </c>
      <c r="F128">
        <v>2018</v>
      </c>
      <c r="G128" t="s">
        <v>12</v>
      </c>
    </row>
    <row r="129" spans="1:7" x14ac:dyDescent="0.3">
      <c r="A129" t="s">
        <v>177</v>
      </c>
      <c r="B129" t="s">
        <v>178</v>
      </c>
      <c r="C129">
        <v>4.8</v>
      </c>
      <c r="D129">
        <v>14038</v>
      </c>
      <c r="E129">
        <v>4</v>
      </c>
      <c r="F129">
        <v>2019</v>
      </c>
      <c r="G129" t="s">
        <v>12</v>
      </c>
    </row>
    <row r="130" spans="1:7" x14ac:dyDescent="0.3">
      <c r="A130" t="s">
        <v>179</v>
      </c>
      <c r="B130" t="s">
        <v>180</v>
      </c>
      <c r="C130">
        <v>4.5999999999999996</v>
      </c>
      <c r="D130">
        <v>7660</v>
      </c>
      <c r="E130">
        <v>12</v>
      </c>
      <c r="F130">
        <v>2019</v>
      </c>
      <c r="G130" t="s">
        <v>9</v>
      </c>
    </row>
    <row r="131" spans="1:7" x14ac:dyDescent="0.3">
      <c r="A131" t="s">
        <v>181</v>
      </c>
      <c r="B131" t="s">
        <v>180</v>
      </c>
      <c r="C131">
        <v>4.5999999999999996</v>
      </c>
      <c r="D131">
        <v>22288</v>
      </c>
      <c r="E131">
        <v>12</v>
      </c>
      <c r="F131">
        <v>2018</v>
      </c>
      <c r="G131" t="s">
        <v>9</v>
      </c>
    </row>
    <row r="132" spans="1:7" x14ac:dyDescent="0.3">
      <c r="A132" t="s">
        <v>181</v>
      </c>
      <c r="B132" t="s">
        <v>180</v>
      </c>
      <c r="C132">
        <v>4.5999999999999996</v>
      </c>
      <c r="D132">
        <v>22288</v>
      </c>
      <c r="E132">
        <v>12</v>
      </c>
      <c r="F132">
        <v>2019</v>
      </c>
      <c r="G132" t="s">
        <v>9</v>
      </c>
    </row>
    <row r="133" spans="1:7" x14ac:dyDescent="0.3">
      <c r="A133" t="s">
        <v>182</v>
      </c>
      <c r="B133" t="s">
        <v>54</v>
      </c>
      <c r="C133">
        <v>4.5999999999999996</v>
      </c>
      <c r="D133">
        <v>1365</v>
      </c>
      <c r="E133">
        <v>11</v>
      </c>
      <c r="F133">
        <v>2009</v>
      </c>
      <c r="G133" t="s">
        <v>9</v>
      </c>
    </row>
    <row r="134" spans="1:7" x14ac:dyDescent="0.3">
      <c r="A134" t="s">
        <v>183</v>
      </c>
      <c r="B134" t="s">
        <v>184</v>
      </c>
      <c r="C134">
        <v>3.6</v>
      </c>
      <c r="D134">
        <v>14982</v>
      </c>
      <c r="E134">
        <v>19</v>
      </c>
      <c r="F134">
        <v>2015</v>
      </c>
      <c r="G134" t="s">
        <v>12</v>
      </c>
    </row>
    <row r="135" spans="1:7" x14ac:dyDescent="0.3">
      <c r="A135" t="s">
        <v>185</v>
      </c>
      <c r="B135" t="s">
        <v>186</v>
      </c>
      <c r="C135">
        <v>4.8</v>
      </c>
      <c r="D135">
        <v>9568</v>
      </c>
      <c r="E135">
        <v>9</v>
      </c>
      <c r="F135">
        <v>2011</v>
      </c>
      <c r="G135" t="s">
        <v>12</v>
      </c>
    </row>
    <row r="136" spans="1:7" x14ac:dyDescent="0.3">
      <c r="A136" t="s">
        <v>187</v>
      </c>
      <c r="B136" t="s">
        <v>188</v>
      </c>
      <c r="C136">
        <v>4.5999999999999996</v>
      </c>
      <c r="D136">
        <v>1636</v>
      </c>
      <c r="E136">
        <v>6</v>
      </c>
      <c r="F136">
        <v>2009</v>
      </c>
      <c r="G136" t="s">
        <v>9</v>
      </c>
    </row>
    <row r="137" spans="1:7" x14ac:dyDescent="0.3">
      <c r="A137" t="s">
        <v>189</v>
      </c>
      <c r="B137" t="s">
        <v>190</v>
      </c>
      <c r="C137">
        <v>4</v>
      </c>
      <c r="D137">
        <v>57271</v>
      </c>
      <c r="E137">
        <v>10</v>
      </c>
      <c r="F137">
        <v>2012</v>
      </c>
      <c r="G137" t="s">
        <v>12</v>
      </c>
    </row>
    <row r="138" spans="1:7" x14ac:dyDescent="0.3">
      <c r="A138" t="s">
        <v>189</v>
      </c>
      <c r="B138" t="s">
        <v>190</v>
      </c>
      <c r="C138">
        <v>4</v>
      </c>
      <c r="D138">
        <v>57271</v>
      </c>
      <c r="E138">
        <v>10</v>
      </c>
      <c r="F138">
        <v>2013</v>
      </c>
      <c r="G138" t="s">
        <v>12</v>
      </c>
    </row>
    <row r="139" spans="1:7" x14ac:dyDescent="0.3">
      <c r="A139" t="s">
        <v>189</v>
      </c>
      <c r="B139" t="s">
        <v>190</v>
      </c>
      <c r="C139">
        <v>4</v>
      </c>
      <c r="D139">
        <v>57271</v>
      </c>
      <c r="E139">
        <v>9</v>
      </c>
      <c r="F139">
        <v>2014</v>
      </c>
      <c r="G139" t="s">
        <v>12</v>
      </c>
    </row>
    <row r="140" spans="1:7" x14ac:dyDescent="0.3">
      <c r="A140" t="s">
        <v>191</v>
      </c>
      <c r="B140" t="s">
        <v>192</v>
      </c>
      <c r="C140">
        <v>4.5999999999999996</v>
      </c>
      <c r="D140">
        <v>10141</v>
      </c>
      <c r="E140">
        <v>6</v>
      </c>
      <c r="F140">
        <v>2019</v>
      </c>
      <c r="G140" t="s">
        <v>9</v>
      </c>
    </row>
    <row r="141" spans="1:7" x14ac:dyDescent="0.3">
      <c r="A141" t="s">
        <v>193</v>
      </c>
      <c r="B141" t="s">
        <v>194</v>
      </c>
      <c r="C141">
        <v>4.5</v>
      </c>
      <c r="D141">
        <v>3457</v>
      </c>
      <c r="E141">
        <v>14</v>
      </c>
      <c r="F141">
        <v>2009</v>
      </c>
      <c r="G141" t="s">
        <v>9</v>
      </c>
    </row>
    <row r="142" spans="1:7" x14ac:dyDescent="0.3">
      <c r="A142" t="s">
        <v>193</v>
      </c>
      <c r="B142" t="s">
        <v>194</v>
      </c>
      <c r="C142">
        <v>4.5</v>
      </c>
      <c r="D142">
        <v>3457</v>
      </c>
      <c r="E142">
        <v>14</v>
      </c>
      <c r="F142">
        <v>2010</v>
      </c>
      <c r="G142" t="s">
        <v>9</v>
      </c>
    </row>
    <row r="143" spans="1:7" x14ac:dyDescent="0.3">
      <c r="A143" t="s">
        <v>193</v>
      </c>
      <c r="B143" t="s">
        <v>194</v>
      </c>
      <c r="C143">
        <v>4.5</v>
      </c>
      <c r="D143">
        <v>3457</v>
      </c>
      <c r="E143">
        <v>14</v>
      </c>
      <c r="F143">
        <v>2011</v>
      </c>
      <c r="G143" t="s">
        <v>9</v>
      </c>
    </row>
    <row r="144" spans="1:7" x14ac:dyDescent="0.3">
      <c r="A144" t="s">
        <v>193</v>
      </c>
      <c r="B144" t="s">
        <v>194</v>
      </c>
      <c r="C144">
        <v>4.5</v>
      </c>
      <c r="D144">
        <v>3457</v>
      </c>
      <c r="E144">
        <v>14</v>
      </c>
      <c r="F144">
        <v>2012</v>
      </c>
      <c r="G144" t="s">
        <v>9</v>
      </c>
    </row>
    <row r="145" spans="1:7" x14ac:dyDescent="0.3">
      <c r="A145" t="s">
        <v>195</v>
      </c>
      <c r="B145" t="s">
        <v>196</v>
      </c>
      <c r="C145">
        <v>4.8</v>
      </c>
      <c r="D145">
        <v>8837</v>
      </c>
      <c r="E145">
        <v>5</v>
      </c>
      <c r="F145">
        <v>2017</v>
      </c>
      <c r="G145" t="s">
        <v>12</v>
      </c>
    </row>
    <row r="146" spans="1:7" x14ac:dyDescent="0.3">
      <c r="A146" t="s">
        <v>195</v>
      </c>
      <c r="B146" t="s">
        <v>196</v>
      </c>
      <c r="C146">
        <v>4.8</v>
      </c>
      <c r="D146">
        <v>8837</v>
      </c>
      <c r="E146">
        <v>5</v>
      </c>
      <c r="F146">
        <v>2018</v>
      </c>
      <c r="G146" t="s">
        <v>12</v>
      </c>
    </row>
    <row r="147" spans="1:7" x14ac:dyDescent="0.3">
      <c r="A147" t="s">
        <v>195</v>
      </c>
      <c r="B147" t="s">
        <v>196</v>
      </c>
      <c r="C147">
        <v>4.8</v>
      </c>
      <c r="D147">
        <v>8837</v>
      </c>
      <c r="E147">
        <v>5</v>
      </c>
      <c r="F147">
        <v>2019</v>
      </c>
      <c r="G147" t="s">
        <v>12</v>
      </c>
    </row>
    <row r="148" spans="1:7" x14ac:dyDescent="0.3">
      <c r="A148" t="s">
        <v>197</v>
      </c>
      <c r="B148" t="s">
        <v>198</v>
      </c>
      <c r="C148">
        <v>4.9000000000000004</v>
      </c>
      <c r="D148">
        <v>7038</v>
      </c>
      <c r="E148">
        <v>7</v>
      </c>
      <c r="F148">
        <v>2012</v>
      </c>
      <c r="G148" t="s">
        <v>12</v>
      </c>
    </row>
    <row r="149" spans="1:7" x14ac:dyDescent="0.3">
      <c r="A149" t="s">
        <v>197</v>
      </c>
      <c r="B149" t="s">
        <v>198</v>
      </c>
      <c r="C149">
        <v>4.9000000000000004</v>
      </c>
      <c r="D149">
        <v>7038</v>
      </c>
      <c r="E149">
        <v>7</v>
      </c>
      <c r="F149">
        <v>2013</v>
      </c>
      <c r="G149" t="s">
        <v>12</v>
      </c>
    </row>
    <row r="150" spans="1:7" x14ac:dyDescent="0.3">
      <c r="A150" t="s">
        <v>199</v>
      </c>
      <c r="B150" t="s">
        <v>200</v>
      </c>
      <c r="C150">
        <v>4.5999999999999996</v>
      </c>
      <c r="D150">
        <v>5972</v>
      </c>
      <c r="E150">
        <v>10</v>
      </c>
      <c r="F150">
        <v>2014</v>
      </c>
      <c r="G150" t="s">
        <v>9</v>
      </c>
    </row>
    <row r="151" spans="1:7" x14ac:dyDescent="0.3">
      <c r="A151" t="s">
        <v>201</v>
      </c>
      <c r="B151" t="s">
        <v>157</v>
      </c>
      <c r="C151">
        <v>4.4000000000000004</v>
      </c>
      <c r="D151">
        <v>25624</v>
      </c>
      <c r="E151">
        <v>14</v>
      </c>
      <c r="F151">
        <v>2015</v>
      </c>
      <c r="G151" t="s">
        <v>12</v>
      </c>
    </row>
    <row r="152" spans="1:7" x14ac:dyDescent="0.3">
      <c r="A152" t="s">
        <v>202</v>
      </c>
      <c r="B152" t="s">
        <v>203</v>
      </c>
      <c r="C152">
        <v>4.8</v>
      </c>
      <c r="D152">
        <v>5476</v>
      </c>
      <c r="E152">
        <v>7</v>
      </c>
      <c r="F152">
        <v>2019</v>
      </c>
      <c r="G152" t="s">
        <v>9</v>
      </c>
    </row>
    <row r="153" spans="1:7" x14ac:dyDescent="0.3">
      <c r="A153" t="s">
        <v>204</v>
      </c>
      <c r="B153" t="s">
        <v>205</v>
      </c>
      <c r="C153">
        <v>4.9000000000000004</v>
      </c>
      <c r="D153">
        <v>5867</v>
      </c>
      <c r="E153">
        <v>54</v>
      </c>
      <c r="F153">
        <v>2016</v>
      </c>
      <c r="G153" t="s">
        <v>9</v>
      </c>
    </row>
    <row r="154" spans="1:7" x14ac:dyDescent="0.3">
      <c r="A154" t="s">
        <v>206</v>
      </c>
      <c r="B154" t="s">
        <v>207</v>
      </c>
      <c r="C154">
        <v>4.8</v>
      </c>
      <c r="D154">
        <v>4148</v>
      </c>
      <c r="E154">
        <v>11</v>
      </c>
      <c r="F154">
        <v>2013</v>
      </c>
      <c r="G154" t="s">
        <v>9</v>
      </c>
    </row>
    <row r="155" spans="1:7" x14ac:dyDescent="0.3">
      <c r="A155" t="s">
        <v>208</v>
      </c>
      <c r="B155" t="s">
        <v>153</v>
      </c>
      <c r="C155">
        <v>4.9000000000000004</v>
      </c>
      <c r="D155">
        <v>19622</v>
      </c>
      <c r="E155">
        <v>30</v>
      </c>
      <c r="F155">
        <v>2016</v>
      </c>
      <c r="G155" t="s">
        <v>12</v>
      </c>
    </row>
    <row r="156" spans="1:7" x14ac:dyDescent="0.3">
      <c r="A156" t="s">
        <v>209</v>
      </c>
      <c r="B156" t="s">
        <v>153</v>
      </c>
      <c r="C156">
        <v>4</v>
      </c>
      <c r="D156">
        <v>23973</v>
      </c>
      <c r="E156">
        <v>12</v>
      </c>
      <c r="F156">
        <v>2016</v>
      </c>
      <c r="G156" t="s">
        <v>12</v>
      </c>
    </row>
    <row r="157" spans="1:7" x14ac:dyDescent="0.3">
      <c r="A157" t="s">
        <v>210</v>
      </c>
      <c r="B157" t="s">
        <v>211</v>
      </c>
      <c r="C157">
        <v>4.9000000000000004</v>
      </c>
      <c r="D157">
        <v>7758</v>
      </c>
      <c r="E157">
        <v>18</v>
      </c>
      <c r="F157">
        <v>2019</v>
      </c>
      <c r="G157" t="s">
        <v>12</v>
      </c>
    </row>
    <row r="158" spans="1:7" x14ac:dyDescent="0.3">
      <c r="A158" t="s">
        <v>212</v>
      </c>
      <c r="B158" t="s">
        <v>153</v>
      </c>
      <c r="C158">
        <v>4.9000000000000004</v>
      </c>
      <c r="D158">
        <v>3146</v>
      </c>
      <c r="E158">
        <v>30</v>
      </c>
      <c r="F158">
        <v>2017</v>
      </c>
      <c r="G158" t="s">
        <v>12</v>
      </c>
    </row>
    <row r="159" spans="1:7" x14ac:dyDescent="0.3">
      <c r="A159" t="s">
        <v>213</v>
      </c>
      <c r="B159" t="s">
        <v>153</v>
      </c>
      <c r="C159">
        <v>4.9000000000000004</v>
      </c>
      <c r="D159">
        <v>10052</v>
      </c>
      <c r="E159">
        <v>22</v>
      </c>
      <c r="F159">
        <v>2016</v>
      </c>
      <c r="G159" t="s">
        <v>12</v>
      </c>
    </row>
    <row r="160" spans="1:7" x14ac:dyDescent="0.3">
      <c r="A160" t="s">
        <v>214</v>
      </c>
      <c r="B160" t="s">
        <v>215</v>
      </c>
      <c r="C160">
        <v>4.7</v>
      </c>
      <c r="D160">
        <v>3564</v>
      </c>
      <c r="E160">
        <v>9</v>
      </c>
      <c r="F160">
        <v>2015</v>
      </c>
      <c r="G160" t="s">
        <v>9</v>
      </c>
    </row>
    <row r="161" spans="1:7" x14ac:dyDescent="0.3">
      <c r="A161" t="s">
        <v>216</v>
      </c>
      <c r="B161" t="s">
        <v>211</v>
      </c>
      <c r="C161">
        <v>4.8</v>
      </c>
      <c r="D161">
        <v>13471</v>
      </c>
      <c r="E161">
        <v>52</v>
      </c>
      <c r="F161">
        <v>2016</v>
      </c>
      <c r="G161" t="s">
        <v>12</v>
      </c>
    </row>
    <row r="162" spans="1:7" x14ac:dyDescent="0.3">
      <c r="A162" t="s">
        <v>217</v>
      </c>
      <c r="B162" t="s">
        <v>218</v>
      </c>
      <c r="C162">
        <v>4.8</v>
      </c>
      <c r="D162">
        <v>1930</v>
      </c>
      <c r="E162">
        <v>4</v>
      </c>
      <c r="F162">
        <v>2009</v>
      </c>
      <c r="G162" t="s">
        <v>9</v>
      </c>
    </row>
    <row r="163" spans="1:7" x14ac:dyDescent="0.3">
      <c r="A163" t="s">
        <v>219</v>
      </c>
      <c r="B163" t="s">
        <v>220</v>
      </c>
      <c r="C163">
        <v>4.7</v>
      </c>
      <c r="D163">
        <v>15779</v>
      </c>
      <c r="E163">
        <v>10</v>
      </c>
      <c r="F163">
        <v>2011</v>
      </c>
      <c r="G163" t="s">
        <v>9</v>
      </c>
    </row>
    <row r="164" spans="1:7" x14ac:dyDescent="0.3">
      <c r="A164" t="s">
        <v>219</v>
      </c>
      <c r="B164" t="s">
        <v>220</v>
      </c>
      <c r="C164">
        <v>4.7</v>
      </c>
      <c r="D164">
        <v>15779</v>
      </c>
      <c r="E164">
        <v>10</v>
      </c>
      <c r="F164">
        <v>2012</v>
      </c>
      <c r="G164" t="s">
        <v>9</v>
      </c>
    </row>
    <row r="165" spans="1:7" x14ac:dyDescent="0.3">
      <c r="A165" t="s">
        <v>221</v>
      </c>
      <c r="B165" t="s">
        <v>222</v>
      </c>
      <c r="C165">
        <v>4.4000000000000004</v>
      </c>
      <c r="D165">
        <v>15526</v>
      </c>
      <c r="E165">
        <v>14</v>
      </c>
      <c r="F165">
        <v>2016</v>
      </c>
      <c r="G165" t="s">
        <v>9</v>
      </c>
    </row>
    <row r="166" spans="1:7" x14ac:dyDescent="0.3">
      <c r="A166" t="s">
        <v>221</v>
      </c>
      <c r="B166" t="s">
        <v>222</v>
      </c>
      <c r="C166">
        <v>4.4000000000000004</v>
      </c>
      <c r="D166">
        <v>15526</v>
      </c>
      <c r="E166">
        <v>14</v>
      </c>
      <c r="F166">
        <v>2017</v>
      </c>
      <c r="G166" t="s">
        <v>9</v>
      </c>
    </row>
    <row r="167" spans="1:7" x14ac:dyDescent="0.3">
      <c r="A167" t="s">
        <v>223</v>
      </c>
      <c r="B167" t="s">
        <v>224</v>
      </c>
      <c r="C167">
        <v>4.8</v>
      </c>
      <c r="D167">
        <v>3776</v>
      </c>
      <c r="E167">
        <v>22</v>
      </c>
      <c r="F167">
        <v>2018</v>
      </c>
      <c r="G167" t="s">
        <v>9</v>
      </c>
    </row>
    <row r="168" spans="1:7" x14ac:dyDescent="0.3">
      <c r="A168" t="s">
        <v>225</v>
      </c>
      <c r="B168" t="s">
        <v>226</v>
      </c>
      <c r="C168">
        <v>4.7</v>
      </c>
      <c r="D168">
        <v>25001</v>
      </c>
      <c r="E168">
        <v>11</v>
      </c>
      <c r="F168">
        <v>2014</v>
      </c>
      <c r="G168" t="s">
        <v>9</v>
      </c>
    </row>
    <row r="169" spans="1:7" x14ac:dyDescent="0.3">
      <c r="A169" t="s">
        <v>225</v>
      </c>
      <c r="B169" t="s">
        <v>226</v>
      </c>
      <c r="C169">
        <v>4.7</v>
      </c>
      <c r="D169">
        <v>25001</v>
      </c>
      <c r="E169">
        <v>11</v>
      </c>
      <c r="F169">
        <v>2015</v>
      </c>
      <c r="G169" t="s">
        <v>9</v>
      </c>
    </row>
    <row r="170" spans="1:7" x14ac:dyDescent="0.3">
      <c r="A170" t="s">
        <v>225</v>
      </c>
      <c r="B170" t="s">
        <v>226</v>
      </c>
      <c r="C170">
        <v>4.7</v>
      </c>
      <c r="D170">
        <v>25001</v>
      </c>
      <c r="E170">
        <v>11</v>
      </c>
      <c r="F170">
        <v>2016</v>
      </c>
      <c r="G170" t="s">
        <v>9</v>
      </c>
    </row>
    <row r="171" spans="1:7" x14ac:dyDescent="0.3">
      <c r="A171" t="s">
        <v>225</v>
      </c>
      <c r="B171" t="s">
        <v>226</v>
      </c>
      <c r="C171">
        <v>4.7</v>
      </c>
      <c r="D171">
        <v>25001</v>
      </c>
      <c r="E171">
        <v>11</v>
      </c>
      <c r="F171">
        <v>2017</v>
      </c>
      <c r="G171" t="s">
        <v>9</v>
      </c>
    </row>
    <row r="172" spans="1:7" x14ac:dyDescent="0.3">
      <c r="A172" t="s">
        <v>225</v>
      </c>
      <c r="B172" t="s">
        <v>226</v>
      </c>
      <c r="C172">
        <v>4.7</v>
      </c>
      <c r="D172">
        <v>25001</v>
      </c>
      <c r="E172">
        <v>11</v>
      </c>
      <c r="F172">
        <v>2018</v>
      </c>
      <c r="G172" t="s">
        <v>9</v>
      </c>
    </row>
    <row r="173" spans="1:7" x14ac:dyDescent="0.3">
      <c r="A173" t="s">
        <v>227</v>
      </c>
      <c r="B173" t="s">
        <v>228</v>
      </c>
      <c r="C173">
        <v>4.3</v>
      </c>
      <c r="D173">
        <v>5272</v>
      </c>
      <c r="E173">
        <v>16</v>
      </c>
      <c r="F173">
        <v>2019</v>
      </c>
      <c r="G173" t="s">
        <v>9</v>
      </c>
    </row>
    <row r="174" spans="1:7" x14ac:dyDescent="0.3">
      <c r="A174" t="s">
        <v>229</v>
      </c>
      <c r="B174" t="s">
        <v>230</v>
      </c>
      <c r="C174">
        <v>4.8</v>
      </c>
      <c r="D174">
        <v>3490</v>
      </c>
      <c r="E174">
        <v>15</v>
      </c>
      <c r="F174">
        <v>2013</v>
      </c>
      <c r="G174" t="s">
        <v>9</v>
      </c>
    </row>
    <row r="175" spans="1:7" x14ac:dyDescent="0.3">
      <c r="A175" t="s">
        <v>229</v>
      </c>
      <c r="B175" t="s">
        <v>230</v>
      </c>
      <c r="C175">
        <v>4.8</v>
      </c>
      <c r="D175">
        <v>3490</v>
      </c>
      <c r="E175">
        <v>15</v>
      </c>
      <c r="F175">
        <v>2014</v>
      </c>
      <c r="G175" t="s">
        <v>9</v>
      </c>
    </row>
    <row r="176" spans="1:7" x14ac:dyDescent="0.3">
      <c r="A176" t="s">
        <v>231</v>
      </c>
      <c r="B176" t="s">
        <v>230</v>
      </c>
      <c r="C176">
        <v>4.9000000000000004</v>
      </c>
      <c r="D176">
        <v>2812</v>
      </c>
      <c r="E176">
        <v>17</v>
      </c>
      <c r="F176">
        <v>2015</v>
      </c>
      <c r="G176" t="s">
        <v>9</v>
      </c>
    </row>
    <row r="177" spans="1:7" x14ac:dyDescent="0.3">
      <c r="A177" t="s">
        <v>232</v>
      </c>
      <c r="B177" t="s">
        <v>233</v>
      </c>
      <c r="C177">
        <v>4.7</v>
      </c>
      <c r="D177">
        <v>4896</v>
      </c>
      <c r="E177">
        <v>17</v>
      </c>
      <c r="F177">
        <v>2013</v>
      </c>
      <c r="G177" t="s">
        <v>9</v>
      </c>
    </row>
    <row r="178" spans="1:7" x14ac:dyDescent="0.3">
      <c r="A178" t="s">
        <v>234</v>
      </c>
      <c r="B178" t="s">
        <v>235</v>
      </c>
      <c r="C178">
        <v>4.8</v>
      </c>
      <c r="D178">
        <v>9737</v>
      </c>
      <c r="E178">
        <v>7</v>
      </c>
      <c r="F178">
        <v>2019</v>
      </c>
      <c r="G178" t="s">
        <v>9</v>
      </c>
    </row>
    <row r="179" spans="1:7" x14ac:dyDescent="0.3">
      <c r="A179" t="s">
        <v>236</v>
      </c>
      <c r="B179" t="s">
        <v>237</v>
      </c>
      <c r="C179">
        <v>4.5999999999999996</v>
      </c>
      <c r="D179">
        <v>1320</v>
      </c>
      <c r="E179">
        <v>7</v>
      </c>
      <c r="F179">
        <v>2009</v>
      </c>
      <c r="G179" t="s">
        <v>12</v>
      </c>
    </row>
    <row r="180" spans="1:7" x14ac:dyDescent="0.3">
      <c r="A180" t="s">
        <v>238</v>
      </c>
      <c r="B180" t="s">
        <v>239</v>
      </c>
      <c r="C180">
        <v>4.8</v>
      </c>
      <c r="D180">
        <v>16643</v>
      </c>
      <c r="E180">
        <v>4</v>
      </c>
      <c r="F180">
        <v>2017</v>
      </c>
      <c r="G180" t="s">
        <v>12</v>
      </c>
    </row>
    <row r="181" spans="1:7" x14ac:dyDescent="0.3">
      <c r="A181" t="s">
        <v>238</v>
      </c>
      <c r="B181" t="s">
        <v>239</v>
      </c>
      <c r="C181">
        <v>4.8</v>
      </c>
      <c r="D181">
        <v>16643</v>
      </c>
      <c r="E181">
        <v>4</v>
      </c>
      <c r="F181">
        <v>2019</v>
      </c>
      <c r="G181" t="s">
        <v>12</v>
      </c>
    </row>
    <row r="182" spans="1:7" x14ac:dyDescent="0.3">
      <c r="A182" t="s">
        <v>240</v>
      </c>
      <c r="B182" t="s">
        <v>241</v>
      </c>
      <c r="C182">
        <v>4.3</v>
      </c>
      <c r="D182">
        <v>7153</v>
      </c>
      <c r="E182">
        <v>9</v>
      </c>
      <c r="F182">
        <v>2014</v>
      </c>
      <c r="G182" t="s">
        <v>12</v>
      </c>
    </row>
    <row r="183" spans="1:7" x14ac:dyDescent="0.3">
      <c r="A183" t="s">
        <v>242</v>
      </c>
      <c r="B183" t="s">
        <v>243</v>
      </c>
      <c r="C183">
        <v>4.4000000000000004</v>
      </c>
      <c r="D183">
        <v>4571</v>
      </c>
      <c r="E183">
        <v>21</v>
      </c>
      <c r="F183">
        <v>2011</v>
      </c>
      <c r="G183" t="s">
        <v>9</v>
      </c>
    </row>
    <row r="184" spans="1:7" x14ac:dyDescent="0.3">
      <c r="A184" t="s">
        <v>244</v>
      </c>
      <c r="B184" t="s">
        <v>245</v>
      </c>
      <c r="C184">
        <v>4.0999999999999996</v>
      </c>
      <c r="D184">
        <v>29651</v>
      </c>
      <c r="E184">
        <v>14</v>
      </c>
      <c r="F184">
        <v>2013</v>
      </c>
      <c r="G184" t="s">
        <v>12</v>
      </c>
    </row>
    <row r="185" spans="1:7" x14ac:dyDescent="0.3">
      <c r="A185" t="s">
        <v>246</v>
      </c>
      <c r="B185" t="s">
        <v>247</v>
      </c>
      <c r="C185">
        <v>4.5999999999999996</v>
      </c>
      <c r="D185">
        <v>5299</v>
      </c>
      <c r="E185">
        <v>20</v>
      </c>
      <c r="F185">
        <v>2011</v>
      </c>
      <c r="G185" t="s">
        <v>12</v>
      </c>
    </row>
    <row r="186" spans="1:7" x14ac:dyDescent="0.3">
      <c r="A186" t="s">
        <v>248</v>
      </c>
      <c r="B186" t="s">
        <v>249</v>
      </c>
      <c r="C186">
        <v>4.4000000000000004</v>
      </c>
      <c r="D186">
        <v>7396</v>
      </c>
      <c r="E186">
        <v>13</v>
      </c>
      <c r="F186">
        <v>2019</v>
      </c>
      <c r="G186" t="s">
        <v>9</v>
      </c>
    </row>
    <row r="187" spans="1:7" x14ac:dyDescent="0.3">
      <c r="A187" t="s">
        <v>248</v>
      </c>
      <c r="B187" t="s">
        <v>249</v>
      </c>
      <c r="C187">
        <v>4.4000000000000004</v>
      </c>
      <c r="D187">
        <v>7396</v>
      </c>
      <c r="E187">
        <v>13</v>
      </c>
      <c r="F187">
        <v>2018</v>
      </c>
      <c r="G187" t="s">
        <v>9</v>
      </c>
    </row>
    <row r="188" spans="1:7" x14ac:dyDescent="0.3">
      <c r="A188" t="s">
        <v>250</v>
      </c>
      <c r="B188" t="s">
        <v>251</v>
      </c>
      <c r="C188">
        <v>4.8</v>
      </c>
      <c r="D188">
        <v>7062</v>
      </c>
      <c r="E188">
        <v>12</v>
      </c>
      <c r="F188">
        <v>2019</v>
      </c>
      <c r="G188" t="s">
        <v>9</v>
      </c>
    </row>
    <row r="189" spans="1:7" x14ac:dyDescent="0.3">
      <c r="A189" t="s">
        <v>252</v>
      </c>
      <c r="B189" t="s">
        <v>253</v>
      </c>
      <c r="C189">
        <v>4.9000000000000004</v>
      </c>
      <c r="D189">
        <v>19576</v>
      </c>
      <c r="E189">
        <v>8</v>
      </c>
      <c r="F189">
        <v>2011</v>
      </c>
      <c r="G189" t="s">
        <v>9</v>
      </c>
    </row>
    <row r="190" spans="1:7" x14ac:dyDescent="0.3">
      <c r="A190" t="s">
        <v>252</v>
      </c>
      <c r="B190" t="s">
        <v>253</v>
      </c>
      <c r="C190">
        <v>4.9000000000000004</v>
      </c>
      <c r="D190">
        <v>19576</v>
      </c>
      <c r="E190">
        <v>8</v>
      </c>
      <c r="F190">
        <v>2012</v>
      </c>
      <c r="G190" t="s">
        <v>9</v>
      </c>
    </row>
    <row r="191" spans="1:7" x14ac:dyDescent="0.3">
      <c r="A191" t="s">
        <v>252</v>
      </c>
      <c r="B191" t="s">
        <v>253</v>
      </c>
      <c r="C191">
        <v>4.9000000000000004</v>
      </c>
      <c r="D191">
        <v>19576</v>
      </c>
      <c r="E191">
        <v>8</v>
      </c>
      <c r="F191">
        <v>2013</v>
      </c>
      <c r="G191" t="s">
        <v>9</v>
      </c>
    </row>
    <row r="192" spans="1:7" x14ac:dyDescent="0.3">
      <c r="A192" t="s">
        <v>252</v>
      </c>
      <c r="B192" t="s">
        <v>253</v>
      </c>
      <c r="C192">
        <v>4.9000000000000004</v>
      </c>
      <c r="D192">
        <v>19576</v>
      </c>
      <c r="E192">
        <v>8</v>
      </c>
      <c r="F192">
        <v>2014</v>
      </c>
      <c r="G192" t="s">
        <v>9</v>
      </c>
    </row>
    <row r="193" spans="1:7" x14ac:dyDescent="0.3">
      <c r="A193" t="s">
        <v>252</v>
      </c>
      <c r="B193" t="s">
        <v>253</v>
      </c>
      <c r="C193">
        <v>4.9000000000000004</v>
      </c>
      <c r="D193">
        <v>19576</v>
      </c>
      <c r="E193">
        <v>8</v>
      </c>
      <c r="F193">
        <v>2015</v>
      </c>
      <c r="G193" t="s">
        <v>9</v>
      </c>
    </row>
    <row r="194" spans="1:7" x14ac:dyDescent="0.3">
      <c r="A194" t="s">
        <v>252</v>
      </c>
      <c r="B194" t="s">
        <v>253</v>
      </c>
      <c r="C194">
        <v>4.9000000000000004</v>
      </c>
      <c r="D194">
        <v>19576</v>
      </c>
      <c r="E194">
        <v>8</v>
      </c>
      <c r="F194">
        <v>2016</v>
      </c>
      <c r="G194" t="s">
        <v>9</v>
      </c>
    </row>
    <row r="195" spans="1:7" x14ac:dyDescent="0.3">
      <c r="A195" t="s">
        <v>254</v>
      </c>
      <c r="B195" t="s">
        <v>168</v>
      </c>
      <c r="C195">
        <v>4.5999999999999996</v>
      </c>
      <c r="D195">
        <v>978</v>
      </c>
      <c r="E195">
        <v>0</v>
      </c>
      <c r="F195">
        <v>2014</v>
      </c>
      <c r="G195" t="s">
        <v>12</v>
      </c>
    </row>
    <row r="196" spans="1:7" x14ac:dyDescent="0.3">
      <c r="A196" t="s">
        <v>255</v>
      </c>
      <c r="B196" t="s">
        <v>11</v>
      </c>
      <c r="C196">
        <v>4.5</v>
      </c>
      <c r="D196">
        <v>4748</v>
      </c>
      <c r="E196">
        <v>12</v>
      </c>
      <c r="F196">
        <v>2013</v>
      </c>
      <c r="G196" t="s">
        <v>12</v>
      </c>
    </row>
    <row r="197" spans="1:7" x14ac:dyDescent="0.3">
      <c r="A197" t="s">
        <v>256</v>
      </c>
      <c r="B197" t="s">
        <v>257</v>
      </c>
      <c r="C197">
        <v>4.5999999999999996</v>
      </c>
      <c r="D197">
        <v>8393</v>
      </c>
      <c r="E197">
        <v>17</v>
      </c>
      <c r="F197">
        <v>2017</v>
      </c>
      <c r="G197" t="s">
        <v>9</v>
      </c>
    </row>
    <row r="198" spans="1:7" x14ac:dyDescent="0.3">
      <c r="A198" t="s">
        <v>258</v>
      </c>
      <c r="B198" t="s">
        <v>259</v>
      </c>
      <c r="C198">
        <v>4.5</v>
      </c>
      <c r="D198">
        <v>11391</v>
      </c>
      <c r="E198">
        <v>12</v>
      </c>
      <c r="F198">
        <v>2013</v>
      </c>
      <c r="G198" t="s">
        <v>9</v>
      </c>
    </row>
    <row r="199" spans="1:7" x14ac:dyDescent="0.3">
      <c r="A199" t="s">
        <v>260</v>
      </c>
      <c r="B199" t="s">
        <v>259</v>
      </c>
      <c r="C199">
        <v>4.5999999999999996</v>
      </c>
      <c r="D199">
        <v>8634</v>
      </c>
      <c r="E199">
        <v>25</v>
      </c>
      <c r="F199">
        <v>2012</v>
      </c>
      <c r="G199" t="s">
        <v>9</v>
      </c>
    </row>
    <row r="200" spans="1:7" x14ac:dyDescent="0.3">
      <c r="A200" t="s">
        <v>261</v>
      </c>
      <c r="B200" t="s">
        <v>259</v>
      </c>
      <c r="C200">
        <v>4.7</v>
      </c>
      <c r="D200">
        <v>9342</v>
      </c>
      <c r="E200">
        <v>10</v>
      </c>
      <c r="F200">
        <v>2011</v>
      </c>
      <c r="G200" t="s">
        <v>9</v>
      </c>
    </row>
    <row r="201" spans="1:7" x14ac:dyDescent="0.3">
      <c r="A201" t="s">
        <v>261</v>
      </c>
      <c r="B201" t="s">
        <v>259</v>
      </c>
      <c r="C201">
        <v>4.7</v>
      </c>
      <c r="D201">
        <v>9342</v>
      </c>
      <c r="E201">
        <v>10</v>
      </c>
      <c r="F201">
        <v>2012</v>
      </c>
      <c r="G201" t="s">
        <v>9</v>
      </c>
    </row>
    <row r="202" spans="1:7" x14ac:dyDescent="0.3">
      <c r="A202" t="s">
        <v>262</v>
      </c>
      <c r="B202" t="s">
        <v>259</v>
      </c>
      <c r="C202">
        <v>4.5999999999999996</v>
      </c>
      <c r="D202">
        <v>10927</v>
      </c>
      <c r="E202">
        <v>6</v>
      </c>
      <c r="F202">
        <v>2014</v>
      </c>
      <c r="G202" t="s">
        <v>9</v>
      </c>
    </row>
    <row r="203" spans="1:7" x14ac:dyDescent="0.3">
      <c r="A203" t="s">
        <v>263</v>
      </c>
      <c r="B203" t="s">
        <v>259</v>
      </c>
      <c r="C203">
        <v>4.5999999999999996</v>
      </c>
      <c r="D203">
        <v>5235</v>
      </c>
      <c r="E203">
        <v>5</v>
      </c>
      <c r="F203">
        <v>2015</v>
      </c>
      <c r="G203" t="s">
        <v>9</v>
      </c>
    </row>
    <row r="204" spans="1:7" x14ac:dyDescent="0.3">
      <c r="A204" t="s">
        <v>264</v>
      </c>
      <c r="B204" t="s">
        <v>259</v>
      </c>
      <c r="C204">
        <v>4.8</v>
      </c>
      <c r="D204">
        <v>8916</v>
      </c>
      <c r="E204">
        <v>6</v>
      </c>
      <c r="F204">
        <v>2016</v>
      </c>
      <c r="G204" t="s">
        <v>9</v>
      </c>
    </row>
    <row r="205" spans="1:7" x14ac:dyDescent="0.3">
      <c r="A205" t="s">
        <v>265</v>
      </c>
      <c r="B205" t="s">
        <v>266</v>
      </c>
      <c r="C205">
        <v>4.8</v>
      </c>
      <c r="D205">
        <v>2507</v>
      </c>
      <c r="E205">
        <v>8</v>
      </c>
      <c r="F205">
        <v>2018</v>
      </c>
      <c r="G205" t="s">
        <v>9</v>
      </c>
    </row>
    <row r="206" spans="1:7" x14ac:dyDescent="0.3">
      <c r="A206" t="s">
        <v>267</v>
      </c>
      <c r="B206" t="s">
        <v>268</v>
      </c>
      <c r="C206">
        <v>4.5</v>
      </c>
      <c r="D206">
        <v>3673</v>
      </c>
      <c r="E206">
        <v>4</v>
      </c>
      <c r="F206">
        <v>2013</v>
      </c>
      <c r="G206" t="s">
        <v>9</v>
      </c>
    </row>
    <row r="207" spans="1:7" x14ac:dyDescent="0.3">
      <c r="A207" t="s">
        <v>267</v>
      </c>
      <c r="B207" t="s">
        <v>268</v>
      </c>
      <c r="C207">
        <v>4.5</v>
      </c>
      <c r="D207">
        <v>3673</v>
      </c>
      <c r="E207">
        <v>4</v>
      </c>
      <c r="F207">
        <v>2014</v>
      </c>
      <c r="G207" t="s">
        <v>9</v>
      </c>
    </row>
    <row r="208" spans="1:7" x14ac:dyDescent="0.3">
      <c r="A208" t="s">
        <v>267</v>
      </c>
      <c r="B208" t="s">
        <v>268</v>
      </c>
      <c r="C208">
        <v>4.5</v>
      </c>
      <c r="D208">
        <v>3673</v>
      </c>
      <c r="E208">
        <v>4</v>
      </c>
      <c r="F208">
        <v>2015</v>
      </c>
      <c r="G208" t="s">
        <v>9</v>
      </c>
    </row>
    <row r="209" spans="1:7" x14ac:dyDescent="0.3">
      <c r="A209" t="s">
        <v>269</v>
      </c>
      <c r="B209" t="s">
        <v>270</v>
      </c>
      <c r="C209">
        <v>4.9000000000000004</v>
      </c>
      <c r="D209">
        <v>11881</v>
      </c>
      <c r="E209">
        <v>13</v>
      </c>
      <c r="F209">
        <v>2018</v>
      </c>
      <c r="G209" t="s">
        <v>12</v>
      </c>
    </row>
    <row r="210" spans="1:7" x14ac:dyDescent="0.3">
      <c r="A210" t="s">
        <v>271</v>
      </c>
      <c r="B210" t="s">
        <v>268</v>
      </c>
      <c r="C210">
        <v>4.5999999999999996</v>
      </c>
      <c r="D210">
        <v>6990</v>
      </c>
      <c r="E210">
        <v>4</v>
      </c>
      <c r="F210">
        <v>2013</v>
      </c>
      <c r="G210" t="s">
        <v>9</v>
      </c>
    </row>
    <row r="211" spans="1:7" x14ac:dyDescent="0.3">
      <c r="A211" t="s">
        <v>271</v>
      </c>
      <c r="B211" t="s">
        <v>268</v>
      </c>
      <c r="C211">
        <v>4.5999999999999996</v>
      </c>
      <c r="D211">
        <v>6990</v>
      </c>
      <c r="E211">
        <v>4</v>
      </c>
      <c r="F211">
        <v>2014</v>
      </c>
      <c r="G211" t="s">
        <v>9</v>
      </c>
    </row>
    <row r="212" spans="1:7" x14ac:dyDescent="0.3">
      <c r="A212" t="s">
        <v>271</v>
      </c>
      <c r="B212" t="s">
        <v>268</v>
      </c>
      <c r="C212">
        <v>4.5999999999999996</v>
      </c>
      <c r="D212">
        <v>6990</v>
      </c>
      <c r="E212">
        <v>4</v>
      </c>
      <c r="F212">
        <v>2015</v>
      </c>
      <c r="G212" t="s">
        <v>9</v>
      </c>
    </row>
    <row r="213" spans="1:7" x14ac:dyDescent="0.3">
      <c r="A213" t="s">
        <v>271</v>
      </c>
      <c r="B213" t="s">
        <v>268</v>
      </c>
      <c r="C213">
        <v>4.5999999999999996</v>
      </c>
      <c r="D213">
        <v>6990</v>
      </c>
      <c r="E213">
        <v>4</v>
      </c>
      <c r="F213">
        <v>2016</v>
      </c>
      <c r="G213" t="s">
        <v>9</v>
      </c>
    </row>
    <row r="214" spans="1:7" x14ac:dyDescent="0.3">
      <c r="A214" t="s">
        <v>271</v>
      </c>
      <c r="B214" t="s">
        <v>268</v>
      </c>
      <c r="C214">
        <v>4.5999999999999996</v>
      </c>
      <c r="D214">
        <v>6990</v>
      </c>
      <c r="E214">
        <v>4</v>
      </c>
      <c r="F214">
        <v>2017</v>
      </c>
      <c r="G214" t="s">
        <v>9</v>
      </c>
    </row>
    <row r="215" spans="1:7" x14ac:dyDescent="0.3">
      <c r="A215" t="s">
        <v>272</v>
      </c>
      <c r="B215" t="s">
        <v>273</v>
      </c>
      <c r="C215">
        <v>4.5</v>
      </c>
      <c r="D215">
        <v>6132</v>
      </c>
      <c r="E215">
        <v>13</v>
      </c>
      <c r="F215">
        <v>2013</v>
      </c>
      <c r="G215" t="s">
        <v>9</v>
      </c>
    </row>
    <row r="216" spans="1:7" x14ac:dyDescent="0.3">
      <c r="A216" t="s">
        <v>274</v>
      </c>
      <c r="B216" t="s">
        <v>275</v>
      </c>
      <c r="C216">
        <v>4.5</v>
      </c>
      <c r="D216">
        <v>3014</v>
      </c>
      <c r="E216">
        <v>21</v>
      </c>
      <c r="F216">
        <v>2017</v>
      </c>
      <c r="G216" t="s">
        <v>9</v>
      </c>
    </row>
    <row r="217" spans="1:7" x14ac:dyDescent="0.3">
      <c r="A217" t="s">
        <v>276</v>
      </c>
      <c r="B217" t="s">
        <v>277</v>
      </c>
      <c r="C217">
        <v>4.4000000000000004</v>
      </c>
      <c r="D217">
        <v>7550</v>
      </c>
      <c r="E217">
        <v>6</v>
      </c>
      <c r="F217">
        <v>2018</v>
      </c>
      <c r="G217" t="s">
        <v>9</v>
      </c>
    </row>
    <row r="218" spans="1:7" x14ac:dyDescent="0.3">
      <c r="A218" t="s">
        <v>278</v>
      </c>
      <c r="B218" t="s">
        <v>279</v>
      </c>
      <c r="C218">
        <v>4.8</v>
      </c>
      <c r="D218">
        <v>3828</v>
      </c>
      <c r="E218">
        <v>15</v>
      </c>
      <c r="F218">
        <v>2009</v>
      </c>
      <c r="G218" t="s">
        <v>9</v>
      </c>
    </row>
    <row r="219" spans="1:7" x14ac:dyDescent="0.3">
      <c r="A219" t="s">
        <v>280</v>
      </c>
      <c r="B219" t="s">
        <v>281</v>
      </c>
      <c r="C219">
        <v>4.5</v>
      </c>
      <c r="D219">
        <v>2752</v>
      </c>
      <c r="E219">
        <v>18</v>
      </c>
      <c r="F219">
        <v>2010</v>
      </c>
      <c r="G219" t="s">
        <v>9</v>
      </c>
    </row>
    <row r="220" spans="1:7" x14ac:dyDescent="0.3">
      <c r="A220" t="s">
        <v>282</v>
      </c>
      <c r="B220" t="s">
        <v>283</v>
      </c>
      <c r="C220">
        <v>4.0999999999999996</v>
      </c>
      <c r="D220">
        <v>1467</v>
      </c>
      <c r="E220">
        <v>10</v>
      </c>
      <c r="F220">
        <v>2010</v>
      </c>
      <c r="G220" t="s">
        <v>12</v>
      </c>
    </row>
    <row r="221" spans="1:7" x14ac:dyDescent="0.3">
      <c r="A221" t="s">
        <v>284</v>
      </c>
      <c r="B221" t="s">
        <v>285</v>
      </c>
      <c r="C221">
        <v>4.9000000000000004</v>
      </c>
      <c r="D221">
        <v>1884</v>
      </c>
      <c r="E221">
        <v>0</v>
      </c>
      <c r="F221">
        <v>2014</v>
      </c>
      <c r="G221" t="s">
        <v>12</v>
      </c>
    </row>
    <row r="222" spans="1:7" x14ac:dyDescent="0.3">
      <c r="A222" t="s">
        <v>286</v>
      </c>
      <c r="B222" t="s">
        <v>287</v>
      </c>
      <c r="C222">
        <v>4.5</v>
      </c>
      <c r="D222">
        <v>25706</v>
      </c>
      <c r="E222">
        <v>12</v>
      </c>
      <c r="F222">
        <v>2018</v>
      </c>
      <c r="G222" t="s">
        <v>12</v>
      </c>
    </row>
    <row r="223" spans="1:7" x14ac:dyDescent="0.3">
      <c r="A223" t="s">
        <v>288</v>
      </c>
      <c r="B223" t="s">
        <v>289</v>
      </c>
      <c r="C223">
        <v>4.5</v>
      </c>
      <c r="D223">
        <v>8491</v>
      </c>
      <c r="E223">
        <v>7</v>
      </c>
      <c r="F223">
        <v>2014</v>
      </c>
      <c r="G223" t="s">
        <v>12</v>
      </c>
    </row>
    <row r="224" spans="1:7" x14ac:dyDescent="0.3">
      <c r="A224" t="s">
        <v>290</v>
      </c>
      <c r="B224" t="s">
        <v>291</v>
      </c>
      <c r="C224">
        <v>4.2</v>
      </c>
      <c r="D224">
        <v>1649</v>
      </c>
      <c r="E224">
        <v>13</v>
      </c>
      <c r="F224">
        <v>2011</v>
      </c>
      <c r="G224" t="s">
        <v>9</v>
      </c>
    </row>
    <row r="225" spans="1:7" x14ac:dyDescent="0.3">
      <c r="A225" t="s">
        <v>292</v>
      </c>
      <c r="B225" t="s">
        <v>293</v>
      </c>
      <c r="C225">
        <v>4.8</v>
      </c>
      <c r="D225">
        <v>18613</v>
      </c>
      <c r="E225">
        <v>5</v>
      </c>
      <c r="F225">
        <v>2014</v>
      </c>
      <c r="G225" t="s">
        <v>12</v>
      </c>
    </row>
    <row r="226" spans="1:7" x14ac:dyDescent="0.3">
      <c r="A226" t="s">
        <v>292</v>
      </c>
      <c r="B226" t="s">
        <v>293</v>
      </c>
      <c r="C226">
        <v>4.8</v>
      </c>
      <c r="D226">
        <v>18613</v>
      </c>
      <c r="E226">
        <v>5</v>
      </c>
      <c r="F226">
        <v>2015</v>
      </c>
      <c r="G226" t="s">
        <v>12</v>
      </c>
    </row>
    <row r="227" spans="1:7" x14ac:dyDescent="0.3">
      <c r="A227" t="s">
        <v>294</v>
      </c>
      <c r="B227" t="s">
        <v>224</v>
      </c>
      <c r="C227">
        <v>4.8</v>
      </c>
      <c r="D227">
        <v>9867</v>
      </c>
      <c r="E227">
        <v>16</v>
      </c>
      <c r="F227">
        <v>2018</v>
      </c>
      <c r="G227" t="s">
        <v>9</v>
      </c>
    </row>
    <row r="228" spans="1:7" x14ac:dyDescent="0.3">
      <c r="A228" t="s">
        <v>295</v>
      </c>
      <c r="B228" t="s">
        <v>64</v>
      </c>
      <c r="C228">
        <v>4.5</v>
      </c>
      <c r="D228">
        <v>1386</v>
      </c>
      <c r="E228">
        <v>20</v>
      </c>
      <c r="F228">
        <v>2014</v>
      </c>
      <c r="G228" t="s">
        <v>9</v>
      </c>
    </row>
    <row r="229" spans="1:7" x14ac:dyDescent="0.3">
      <c r="A229" t="s">
        <v>296</v>
      </c>
      <c r="B229" t="s">
        <v>297</v>
      </c>
      <c r="C229">
        <v>4.7</v>
      </c>
      <c r="D229">
        <v>10199</v>
      </c>
      <c r="E229">
        <v>11</v>
      </c>
      <c r="F229">
        <v>2017</v>
      </c>
      <c r="G229" t="s">
        <v>9</v>
      </c>
    </row>
    <row r="230" spans="1:7" x14ac:dyDescent="0.3">
      <c r="A230" t="s">
        <v>298</v>
      </c>
      <c r="B230" t="s">
        <v>299</v>
      </c>
      <c r="C230">
        <v>4.8</v>
      </c>
      <c r="D230">
        <v>2926</v>
      </c>
      <c r="E230">
        <v>27</v>
      </c>
      <c r="F230">
        <v>2009</v>
      </c>
      <c r="G230" t="s">
        <v>9</v>
      </c>
    </row>
    <row r="231" spans="1:7" x14ac:dyDescent="0.3">
      <c r="A231" t="s">
        <v>300</v>
      </c>
      <c r="B231" t="s">
        <v>301</v>
      </c>
      <c r="C231">
        <v>4.7</v>
      </c>
      <c r="D231">
        <v>17739</v>
      </c>
      <c r="E231">
        <v>8</v>
      </c>
      <c r="F231">
        <v>2016</v>
      </c>
      <c r="G231" t="s">
        <v>9</v>
      </c>
    </row>
    <row r="232" spans="1:7" x14ac:dyDescent="0.3">
      <c r="A232" t="s">
        <v>300</v>
      </c>
      <c r="B232" t="s">
        <v>301</v>
      </c>
      <c r="C232">
        <v>4.7</v>
      </c>
      <c r="D232">
        <v>17739</v>
      </c>
      <c r="E232">
        <v>8</v>
      </c>
      <c r="F232">
        <v>2017</v>
      </c>
      <c r="G232" t="s">
        <v>9</v>
      </c>
    </row>
    <row r="233" spans="1:7" x14ac:dyDescent="0.3">
      <c r="A233" t="s">
        <v>300</v>
      </c>
      <c r="B233" t="s">
        <v>301</v>
      </c>
      <c r="C233">
        <v>4.7</v>
      </c>
      <c r="D233">
        <v>17739</v>
      </c>
      <c r="E233">
        <v>8</v>
      </c>
      <c r="F233">
        <v>2018</v>
      </c>
      <c r="G233" t="s">
        <v>9</v>
      </c>
    </row>
    <row r="234" spans="1:7" x14ac:dyDescent="0.3">
      <c r="A234" t="s">
        <v>302</v>
      </c>
      <c r="B234" t="s">
        <v>303</v>
      </c>
      <c r="C234">
        <v>4.4000000000000004</v>
      </c>
      <c r="D234">
        <v>3113</v>
      </c>
      <c r="E234">
        <v>6</v>
      </c>
      <c r="F234">
        <v>2017</v>
      </c>
      <c r="G234" t="s">
        <v>9</v>
      </c>
    </row>
    <row r="235" spans="1:7" x14ac:dyDescent="0.3">
      <c r="A235" t="s">
        <v>304</v>
      </c>
      <c r="B235" t="s">
        <v>305</v>
      </c>
      <c r="C235">
        <v>4.5999999999999996</v>
      </c>
      <c r="D235">
        <v>5542</v>
      </c>
      <c r="E235">
        <v>10</v>
      </c>
      <c r="F235">
        <v>2014</v>
      </c>
      <c r="G235" t="s">
        <v>9</v>
      </c>
    </row>
    <row r="236" spans="1:7" x14ac:dyDescent="0.3">
      <c r="A236" t="s">
        <v>304</v>
      </c>
      <c r="B236" t="s">
        <v>305</v>
      </c>
      <c r="C236">
        <v>4.5999999999999996</v>
      </c>
      <c r="D236">
        <v>5542</v>
      </c>
      <c r="E236">
        <v>10</v>
      </c>
      <c r="F236">
        <v>2015</v>
      </c>
      <c r="G236" t="s">
        <v>9</v>
      </c>
    </row>
    <row r="237" spans="1:7" x14ac:dyDescent="0.3">
      <c r="A237" t="s">
        <v>304</v>
      </c>
      <c r="B237" t="s">
        <v>305</v>
      </c>
      <c r="C237">
        <v>4.5999999999999996</v>
      </c>
      <c r="D237">
        <v>5542</v>
      </c>
      <c r="E237">
        <v>10</v>
      </c>
      <c r="F237">
        <v>2016</v>
      </c>
      <c r="G237" t="s">
        <v>9</v>
      </c>
    </row>
    <row r="238" spans="1:7" x14ac:dyDescent="0.3">
      <c r="A238" t="s">
        <v>306</v>
      </c>
      <c r="B238" t="s">
        <v>88</v>
      </c>
      <c r="C238">
        <v>4.5</v>
      </c>
      <c r="D238">
        <v>26741</v>
      </c>
      <c r="E238">
        <v>8</v>
      </c>
      <c r="F238">
        <v>2010</v>
      </c>
      <c r="G238" t="s">
        <v>12</v>
      </c>
    </row>
    <row r="239" spans="1:7" x14ac:dyDescent="0.3">
      <c r="A239" t="s">
        <v>306</v>
      </c>
      <c r="B239" t="s">
        <v>88</v>
      </c>
      <c r="C239">
        <v>4.5</v>
      </c>
      <c r="D239">
        <v>26741</v>
      </c>
      <c r="E239">
        <v>8</v>
      </c>
      <c r="F239">
        <v>2011</v>
      </c>
      <c r="G239" t="s">
        <v>12</v>
      </c>
    </row>
    <row r="240" spans="1:7" x14ac:dyDescent="0.3">
      <c r="A240" t="s">
        <v>306</v>
      </c>
      <c r="B240" t="s">
        <v>88</v>
      </c>
      <c r="C240">
        <v>4.5</v>
      </c>
      <c r="D240">
        <v>26741</v>
      </c>
      <c r="E240">
        <v>8</v>
      </c>
      <c r="F240">
        <v>2012</v>
      </c>
      <c r="G240" t="s">
        <v>12</v>
      </c>
    </row>
    <row r="241" spans="1:7" x14ac:dyDescent="0.3">
      <c r="A241" t="s">
        <v>307</v>
      </c>
      <c r="B241" t="s">
        <v>308</v>
      </c>
      <c r="C241">
        <v>4.8</v>
      </c>
      <c r="D241">
        <v>5347</v>
      </c>
      <c r="E241">
        <v>16</v>
      </c>
      <c r="F241">
        <v>2019</v>
      </c>
      <c r="G241" t="s">
        <v>9</v>
      </c>
    </row>
    <row r="242" spans="1:7" x14ac:dyDescent="0.3">
      <c r="A242" t="s">
        <v>309</v>
      </c>
      <c r="B242" t="s">
        <v>310</v>
      </c>
      <c r="C242">
        <v>4.8</v>
      </c>
      <c r="D242">
        <v>7866</v>
      </c>
      <c r="E242">
        <v>11</v>
      </c>
      <c r="F242">
        <v>2019</v>
      </c>
      <c r="G242" t="s">
        <v>9</v>
      </c>
    </row>
    <row r="243" spans="1:7" x14ac:dyDescent="0.3">
      <c r="A243" t="s">
        <v>311</v>
      </c>
      <c r="B243" t="s">
        <v>75</v>
      </c>
      <c r="C243">
        <v>4.5999999999999996</v>
      </c>
      <c r="D243">
        <v>5680</v>
      </c>
      <c r="E243">
        <v>10</v>
      </c>
      <c r="F243">
        <v>2009</v>
      </c>
      <c r="G243" t="s">
        <v>12</v>
      </c>
    </row>
    <row r="244" spans="1:7" x14ac:dyDescent="0.3">
      <c r="A244" t="s">
        <v>312</v>
      </c>
      <c r="B244" t="s">
        <v>313</v>
      </c>
      <c r="C244">
        <v>4.7</v>
      </c>
      <c r="D244">
        <v>5178</v>
      </c>
      <c r="E244">
        <v>9</v>
      </c>
      <c r="F244">
        <v>2016</v>
      </c>
      <c r="G244" t="s">
        <v>9</v>
      </c>
    </row>
    <row r="245" spans="1:7" x14ac:dyDescent="0.3">
      <c r="A245" t="s">
        <v>314</v>
      </c>
      <c r="B245" t="s">
        <v>315</v>
      </c>
      <c r="C245">
        <v>4.5999999999999996</v>
      </c>
      <c r="D245">
        <v>8093</v>
      </c>
      <c r="E245">
        <v>14</v>
      </c>
      <c r="F245">
        <v>2012</v>
      </c>
      <c r="G245" t="s">
        <v>9</v>
      </c>
    </row>
    <row r="246" spans="1:7" x14ac:dyDescent="0.3">
      <c r="A246" t="s">
        <v>316</v>
      </c>
      <c r="B246" t="s">
        <v>317</v>
      </c>
      <c r="C246">
        <v>4.9000000000000004</v>
      </c>
      <c r="D246">
        <v>3192</v>
      </c>
      <c r="E246">
        <v>22</v>
      </c>
      <c r="F246">
        <v>2017</v>
      </c>
      <c r="G246" t="s">
        <v>9</v>
      </c>
    </row>
    <row r="247" spans="1:7" x14ac:dyDescent="0.3">
      <c r="A247" t="s">
        <v>318</v>
      </c>
      <c r="B247" t="s">
        <v>319</v>
      </c>
      <c r="C247">
        <v>4.9000000000000004</v>
      </c>
      <c r="D247">
        <v>21834</v>
      </c>
      <c r="E247">
        <v>8</v>
      </c>
      <c r="F247">
        <v>2012</v>
      </c>
      <c r="G247" t="s">
        <v>12</v>
      </c>
    </row>
    <row r="248" spans="1:7" x14ac:dyDescent="0.3">
      <c r="A248" t="s">
        <v>318</v>
      </c>
      <c r="B248" t="s">
        <v>319</v>
      </c>
      <c r="C248">
        <v>4.9000000000000004</v>
      </c>
      <c r="D248">
        <v>21834</v>
      </c>
      <c r="E248">
        <v>8</v>
      </c>
      <c r="F248">
        <v>2013</v>
      </c>
      <c r="G248" t="s">
        <v>12</v>
      </c>
    </row>
    <row r="249" spans="1:7" x14ac:dyDescent="0.3">
      <c r="A249" t="s">
        <v>318</v>
      </c>
      <c r="B249" t="s">
        <v>319</v>
      </c>
      <c r="C249">
        <v>4.9000000000000004</v>
      </c>
      <c r="D249">
        <v>21834</v>
      </c>
      <c r="E249">
        <v>8</v>
      </c>
      <c r="F249">
        <v>2014</v>
      </c>
      <c r="G249" t="s">
        <v>12</v>
      </c>
    </row>
    <row r="250" spans="1:7" x14ac:dyDescent="0.3">
      <c r="A250" t="s">
        <v>318</v>
      </c>
      <c r="B250" t="s">
        <v>319</v>
      </c>
      <c r="C250">
        <v>4.9000000000000004</v>
      </c>
      <c r="D250">
        <v>21834</v>
      </c>
      <c r="E250">
        <v>8</v>
      </c>
      <c r="F250">
        <v>2015</v>
      </c>
      <c r="G250" t="s">
        <v>12</v>
      </c>
    </row>
    <row r="251" spans="1:7" x14ac:dyDescent="0.3">
      <c r="A251" t="s">
        <v>318</v>
      </c>
      <c r="B251" t="s">
        <v>319</v>
      </c>
      <c r="C251">
        <v>4.9000000000000004</v>
      </c>
      <c r="D251">
        <v>21834</v>
      </c>
      <c r="E251">
        <v>8</v>
      </c>
      <c r="F251">
        <v>2016</v>
      </c>
      <c r="G251" t="s">
        <v>12</v>
      </c>
    </row>
    <row r="252" spans="1:7" x14ac:dyDescent="0.3">
      <c r="A252" t="s">
        <v>318</v>
      </c>
      <c r="B252" t="s">
        <v>319</v>
      </c>
      <c r="C252">
        <v>4.9000000000000004</v>
      </c>
      <c r="D252">
        <v>21834</v>
      </c>
      <c r="E252">
        <v>8</v>
      </c>
      <c r="F252">
        <v>2017</v>
      </c>
      <c r="G252" t="s">
        <v>12</v>
      </c>
    </row>
    <row r="253" spans="1:7" x14ac:dyDescent="0.3">
      <c r="A253" t="s">
        <v>318</v>
      </c>
      <c r="B253" t="s">
        <v>319</v>
      </c>
      <c r="C253">
        <v>4.9000000000000004</v>
      </c>
      <c r="D253">
        <v>21834</v>
      </c>
      <c r="E253">
        <v>8</v>
      </c>
      <c r="F253">
        <v>2018</v>
      </c>
      <c r="G253" t="s">
        <v>12</v>
      </c>
    </row>
    <row r="254" spans="1:7" x14ac:dyDescent="0.3">
      <c r="A254" t="s">
        <v>318</v>
      </c>
      <c r="B254" t="s">
        <v>319</v>
      </c>
      <c r="C254">
        <v>4.9000000000000004</v>
      </c>
      <c r="D254">
        <v>21834</v>
      </c>
      <c r="E254">
        <v>8</v>
      </c>
      <c r="F254">
        <v>2019</v>
      </c>
      <c r="G254" t="s">
        <v>12</v>
      </c>
    </row>
    <row r="255" spans="1:7" x14ac:dyDescent="0.3">
      <c r="A255" t="s">
        <v>320</v>
      </c>
      <c r="B255" t="s">
        <v>80</v>
      </c>
      <c r="C255">
        <v>4.8</v>
      </c>
      <c r="D255">
        <v>6169</v>
      </c>
      <c r="E255">
        <v>7</v>
      </c>
      <c r="F255">
        <v>2015</v>
      </c>
      <c r="G255" t="s">
        <v>12</v>
      </c>
    </row>
    <row r="256" spans="1:7" x14ac:dyDescent="0.3">
      <c r="A256" t="s">
        <v>321</v>
      </c>
      <c r="B256" t="s">
        <v>322</v>
      </c>
      <c r="C256">
        <v>4.2</v>
      </c>
      <c r="D256">
        <v>4519</v>
      </c>
      <c r="E256">
        <v>12</v>
      </c>
      <c r="F256">
        <v>2009</v>
      </c>
      <c r="G256" t="s">
        <v>12</v>
      </c>
    </row>
    <row r="257" spans="1:7" x14ac:dyDescent="0.3">
      <c r="A257" t="s">
        <v>323</v>
      </c>
      <c r="B257" t="s">
        <v>324</v>
      </c>
      <c r="C257">
        <v>4.5999999999999996</v>
      </c>
      <c r="D257">
        <v>3163</v>
      </c>
      <c r="E257">
        <v>13</v>
      </c>
      <c r="F257">
        <v>2011</v>
      </c>
      <c r="G257" t="s">
        <v>9</v>
      </c>
    </row>
    <row r="258" spans="1:7" x14ac:dyDescent="0.3">
      <c r="A258" t="s">
        <v>323</v>
      </c>
      <c r="B258" t="s">
        <v>324</v>
      </c>
      <c r="C258">
        <v>4.5999999999999996</v>
      </c>
      <c r="D258">
        <v>3163</v>
      </c>
      <c r="E258">
        <v>13</v>
      </c>
      <c r="F258">
        <v>2012</v>
      </c>
      <c r="G258" t="s">
        <v>9</v>
      </c>
    </row>
    <row r="259" spans="1:7" x14ac:dyDescent="0.3">
      <c r="A259" t="s">
        <v>325</v>
      </c>
      <c r="B259" t="s">
        <v>273</v>
      </c>
      <c r="C259">
        <v>4.5</v>
      </c>
      <c r="D259">
        <v>1831</v>
      </c>
      <c r="E259">
        <v>9</v>
      </c>
      <c r="F259">
        <v>2017</v>
      </c>
      <c r="G259" t="s">
        <v>9</v>
      </c>
    </row>
    <row r="260" spans="1:7" x14ac:dyDescent="0.3">
      <c r="A260" t="s">
        <v>326</v>
      </c>
      <c r="B260" t="s">
        <v>245</v>
      </c>
      <c r="C260">
        <v>4.3</v>
      </c>
      <c r="D260">
        <v>18904</v>
      </c>
      <c r="E260">
        <v>13</v>
      </c>
      <c r="F260">
        <v>2017</v>
      </c>
      <c r="G260" t="s">
        <v>12</v>
      </c>
    </row>
    <row r="261" spans="1:7" x14ac:dyDescent="0.3">
      <c r="A261" t="s">
        <v>327</v>
      </c>
      <c r="B261" t="s">
        <v>328</v>
      </c>
      <c r="C261">
        <v>4.5999999999999996</v>
      </c>
      <c r="D261">
        <v>21930</v>
      </c>
      <c r="E261">
        <v>11</v>
      </c>
      <c r="F261">
        <v>2014</v>
      </c>
      <c r="G261" t="s">
        <v>12</v>
      </c>
    </row>
    <row r="262" spans="1:7" x14ac:dyDescent="0.3">
      <c r="A262" t="s">
        <v>329</v>
      </c>
      <c r="B262" t="s">
        <v>103</v>
      </c>
      <c r="C262">
        <v>4.5999999999999996</v>
      </c>
      <c r="D262">
        <v>10426</v>
      </c>
      <c r="E262">
        <v>20</v>
      </c>
      <c r="F262">
        <v>2009</v>
      </c>
      <c r="G262" t="s">
        <v>9</v>
      </c>
    </row>
    <row r="263" spans="1:7" x14ac:dyDescent="0.3">
      <c r="A263" t="s">
        <v>329</v>
      </c>
      <c r="B263" t="s">
        <v>103</v>
      </c>
      <c r="C263">
        <v>4.5999999999999996</v>
      </c>
      <c r="D263">
        <v>10426</v>
      </c>
      <c r="E263">
        <v>20</v>
      </c>
      <c r="F263">
        <v>2010</v>
      </c>
      <c r="G263" t="s">
        <v>9</v>
      </c>
    </row>
    <row r="264" spans="1:7" x14ac:dyDescent="0.3">
      <c r="A264" t="s">
        <v>330</v>
      </c>
      <c r="B264" t="s">
        <v>331</v>
      </c>
      <c r="C264">
        <v>4.7</v>
      </c>
      <c r="D264">
        <v>10820</v>
      </c>
      <c r="E264">
        <v>5</v>
      </c>
      <c r="F264">
        <v>2018</v>
      </c>
      <c r="G264" t="s">
        <v>9</v>
      </c>
    </row>
    <row r="265" spans="1:7" x14ac:dyDescent="0.3">
      <c r="A265" t="s">
        <v>330</v>
      </c>
      <c r="B265" t="s">
        <v>331</v>
      </c>
      <c r="C265">
        <v>4.7</v>
      </c>
      <c r="D265">
        <v>10820</v>
      </c>
      <c r="E265">
        <v>5</v>
      </c>
      <c r="F265">
        <v>2019</v>
      </c>
      <c r="G265" t="s">
        <v>9</v>
      </c>
    </row>
    <row r="266" spans="1:7" x14ac:dyDescent="0.3">
      <c r="A266" t="s">
        <v>332</v>
      </c>
      <c r="B266" t="s">
        <v>333</v>
      </c>
      <c r="C266">
        <v>4.8</v>
      </c>
      <c r="D266">
        <v>548</v>
      </c>
      <c r="E266">
        <v>2</v>
      </c>
      <c r="F266">
        <v>2010</v>
      </c>
      <c r="G266" t="s">
        <v>12</v>
      </c>
    </row>
    <row r="267" spans="1:7" x14ac:dyDescent="0.3">
      <c r="A267" t="s">
        <v>334</v>
      </c>
      <c r="B267" t="s">
        <v>335</v>
      </c>
      <c r="C267">
        <v>4.8</v>
      </c>
      <c r="D267">
        <v>16990</v>
      </c>
      <c r="E267">
        <v>27</v>
      </c>
      <c r="F267">
        <v>2017</v>
      </c>
      <c r="G267" t="s">
        <v>12</v>
      </c>
    </row>
    <row r="268" spans="1:7" x14ac:dyDescent="0.3">
      <c r="A268" t="s">
        <v>334</v>
      </c>
      <c r="B268" t="s">
        <v>335</v>
      </c>
      <c r="C268">
        <v>4.8</v>
      </c>
      <c r="D268">
        <v>16990</v>
      </c>
      <c r="E268">
        <v>27</v>
      </c>
      <c r="F268">
        <v>2018</v>
      </c>
      <c r="G268" t="s">
        <v>12</v>
      </c>
    </row>
    <row r="269" spans="1:7" x14ac:dyDescent="0.3">
      <c r="A269" t="s">
        <v>334</v>
      </c>
      <c r="B269" t="s">
        <v>335</v>
      </c>
      <c r="C269">
        <v>4.8</v>
      </c>
      <c r="D269">
        <v>16990</v>
      </c>
      <c r="E269">
        <v>27</v>
      </c>
      <c r="F269">
        <v>2019</v>
      </c>
      <c r="G269" t="s">
        <v>12</v>
      </c>
    </row>
    <row r="270" spans="1:7" x14ac:dyDescent="0.3">
      <c r="A270" t="s">
        <v>336</v>
      </c>
      <c r="B270" t="s">
        <v>215</v>
      </c>
      <c r="C270">
        <v>4.7</v>
      </c>
      <c r="D270">
        <v>3503</v>
      </c>
      <c r="E270">
        <v>9</v>
      </c>
      <c r="F270">
        <v>2016</v>
      </c>
      <c r="G270" t="s">
        <v>12</v>
      </c>
    </row>
    <row r="271" spans="1:7" x14ac:dyDescent="0.3">
      <c r="A271" t="s">
        <v>337</v>
      </c>
      <c r="B271" t="s">
        <v>338</v>
      </c>
      <c r="C271">
        <v>4.3</v>
      </c>
      <c r="D271">
        <v>13616</v>
      </c>
      <c r="E271">
        <v>10</v>
      </c>
      <c r="F271">
        <v>2012</v>
      </c>
      <c r="G271" t="s">
        <v>9</v>
      </c>
    </row>
    <row r="272" spans="1:7" x14ac:dyDescent="0.3">
      <c r="A272" t="s">
        <v>337</v>
      </c>
      <c r="B272" t="s">
        <v>338</v>
      </c>
      <c r="C272">
        <v>4.3</v>
      </c>
      <c r="D272">
        <v>13616</v>
      </c>
      <c r="E272">
        <v>10</v>
      </c>
      <c r="F272">
        <v>2013</v>
      </c>
      <c r="G272" t="s">
        <v>9</v>
      </c>
    </row>
    <row r="273" spans="1:7" x14ac:dyDescent="0.3">
      <c r="A273" t="s">
        <v>339</v>
      </c>
      <c r="B273" t="s">
        <v>340</v>
      </c>
      <c r="C273">
        <v>4.5</v>
      </c>
      <c r="D273">
        <v>8580</v>
      </c>
      <c r="E273">
        <v>46</v>
      </c>
      <c r="F273">
        <v>2009</v>
      </c>
      <c r="G273" t="s">
        <v>9</v>
      </c>
    </row>
    <row r="274" spans="1:7" x14ac:dyDescent="0.3">
      <c r="A274" t="s">
        <v>339</v>
      </c>
      <c r="B274" t="s">
        <v>340</v>
      </c>
      <c r="C274">
        <v>4.5</v>
      </c>
      <c r="D274">
        <v>8580</v>
      </c>
      <c r="E274">
        <v>46</v>
      </c>
      <c r="F274">
        <v>2010</v>
      </c>
      <c r="G274" t="s">
        <v>9</v>
      </c>
    </row>
    <row r="275" spans="1:7" x14ac:dyDescent="0.3">
      <c r="A275" t="s">
        <v>339</v>
      </c>
      <c r="B275" t="s">
        <v>340</v>
      </c>
      <c r="C275">
        <v>4.5</v>
      </c>
      <c r="D275">
        <v>8580</v>
      </c>
      <c r="E275">
        <v>46</v>
      </c>
      <c r="F275">
        <v>2011</v>
      </c>
      <c r="G275" t="s">
        <v>9</v>
      </c>
    </row>
    <row r="276" spans="1:7" x14ac:dyDescent="0.3">
      <c r="A276" t="s">
        <v>339</v>
      </c>
      <c r="B276" t="s">
        <v>340</v>
      </c>
      <c r="C276">
        <v>4.5</v>
      </c>
      <c r="D276">
        <v>8580</v>
      </c>
      <c r="E276">
        <v>46</v>
      </c>
      <c r="F276">
        <v>2012</v>
      </c>
      <c r="G276" t="s">
        <v>9</v>
      </c>
    </row>
    <row r="277" spans="1:7" x14ac:dyDescent="0.3">
      <c r="A277" t="s">
        <v>339</v>
      </c>
      <c r="B277" t="s">
        <v>340</v>
      </c>
      <c r="C277">
        <v>4.5</v>
      </c>
      <c r="D277">
        <v>8580</v>
      </c>
      <c r="E277">
        <v>46</v>
      </c>
      <c r="F277">
        <v>2013</v>
      </c>
      <c r="G277" t="s">
        <v>9</v>
      </c>
    </row>
    <row r="278" spans="1:7" x14ac:dyDescent="0.3">
      <c r="A278" t="s">
        <v>339</v>
      </c>
      <c r="B278" t="s">
        <v>340</v>
      </c>
      <c r="C278">
        <v>4.5</v>
      </c>
      <c r="D278">
        <v>8580</v>
      </c>
      <c r="E278">
        <v>46</v>
      </c>
      <c r="F278">
        <v>2014</v>
      </c>
      <c r="G278" t="s">
        <v>9</v>
      </c>
    </row>
    <row r="279" spans="1:7" x14ac:dyDescent="0.3">
      <c r="A279" t="s">
        <v>339</v>
      </c>
      <c r="B279" t="s">
        <v>340</v>
      </c>
      <c r="C279">
        <v>4.5</v>
      </c>
      <c r="D279">
        <v>8580</v>
      </c>
      <c r="E279">
        <v>46</v>
      </c>
      <c r="F279">
        <v>2015</v>
      </c>
      <c r="G279" t="s">
        <v>9</v>
      </c>
    </row>
    <row r="280" spans="1:7" x14ac:dyDescent="0.3">
      <c r="A280" t="s">
        <v>339</v>
      </c>
      <c r="B280" t="s">
        <v>340</v>
      </c>
      <c r="C280">
        <v>4.5</v>
      </c>
      <c r="D280">
        <v>8580</v>
      </c>
      <c r="E280">
        <v>46</v>
      </c>
      <c r="F280">
        <v>2016</v>
      </c>
      <c r="G280" t="s">
        <v>9</v>
      </c>
    </row>
    <row r="281" spans="1:7" x14ac:dyDescent="0.3">
      <c r="A281" t="s">
        <v>339</v>
      </c>
      <c r="B281" t="s">
        <v>340</v>
      </c>
      <c r="C281">
        <v>4.5</v>
      </c>
      <c r="D281">
        <v>8580</v>
      </c>
      <c r="E281">
        <v>46</v>
      </c>
      <c r="F281">
        <v>2017</v>
      </c>
      <c r="G281" t="s">
        <v>9</v>
      </c>
    </row>
    <row r="282" spans="1:7" x14ac:dyDescent="0.3">
      <c r="A282" t="s">
        <v>339</v>
      </c>
      <c r="B282" t="s">
        <v>340</v>
      </c>
      <c r="C282">
        <v>4.5</v>
      </c>
      <c r="D282">
        <v>8580</v>
      </c>
      <c r="E282">
        <v>46</v>
      </c>
      <c r="F282">
        <v>2018</v>
      </c>
      <c r="G282" t="s">
        <v>9</v>
      </c>
    </row>
    <row r="283" spans="1:7" x14ac:dyDescent="0.3">
      <c r="A283" t="s">
        <v>341</v>
      </c>
      <c r="B283" t="s">
        <v>342</v>
      </c>
      <c r="C283">
        <v>4.8</v>
      </c>
      <c r="D283">
        <v>4757</v>
      </c>
      <c r="E283">
        <v>4</v>
      </c>
      <c r="F283">
        <v>2017</v>
      </c>
      <c r="G283" t="s">
        <v>12</v>
      </c>
    </row>
    <row r="284" spans="1:7" x14ac:dyDescent="0.3">
      <c r="A284" t="s">
        <v>343</v>
      </c>
      <c r="B284" t="s">
        <v>344</v>
      </c>
      <c r="C284">
        <v>4.5999999999999996</v>
      </c>
      <c r="D284">
        <v>10009</v>
      </c>
      <c r="E284">
        <v>20</v>
      </c>
      <c r="F284">
        <v>2012</v>
      </c>
      <c r="G284" t="s">
        <v>9</v>
      </c>
    </row>
    <row r="285" spans="1:7" x14ac:dyDescent="0.3">
      <c r="A285" t="s">
        <v>343</v>
      </c>
      <c r="B285" t="s">
        <v>344</v>
      </c>
      <c r="C285">
        <v>4.5999999999999996</v>
      </c>
      <c r="D285">
        <v>10009</v>
      </c>
      <c r="E285">
        <v>7</v>
      </c>
      <c r="F285">
        <v>2013</v>
      </c>
      <c r="G285" t="s">
        <v>9</v>
      </c>
    </row>
    <row r="286" spans="1:7" x14ac:dyDescent="0.3">
      <c r="A286" t="s">
        <v>345</v>
      </c>
      <c r="B286" t="s">
        <v>346</v>
      </c>
      <c r="C286">
        <v>4.7</v>
      </c>
      <c r="D286">
        <v>1985</v>
      </c>
      <c r="E286">
        <v>9</v>
      </c>
      <c r="F286">
        <v>2010</v>
      </c>
      <c r="G286" t="s">
        <v>9</v>
      </c>
    </row>
    <row r="287" spans="1:7" x14ac:dyDescent="0.3">
      <c r="A287" t="s">
        <v>345</v>
      </c>
      <c r="B287" t="s">
        <v>346</v>
      </c>
      <c r="C287">
        <v>4.7</v>
      </c>
      <c r="D287">
        <v>1985</v>
      </c>
      <c r="E287">
        <v>9</v>
      </c>
      <c r="F287">
        <v>2011</v>
      </c>
      <c r="G287" t="s">
        <v>9</v>
      </c>
    </row>
    <row r="288" spans="1:7" x14ac:dyDescent="0.3">
      <c r="A288" t="s">
        <v>347</v>
      </c>
      <c r="B288" t="s">
        <v>348</v>
      </c>
      <c r="C288">
        <v>4.5999999999999996</v>
      </c>
      <c r="D288">
        <v>22536</v>
      </c>
      <c r="E288">
        <v>12</v>
      </c>
      <c r="F288">
        <v>2017</v>
      </c>
      <c r="G288" t="s">
        <v>12</v>
      </c>
    </row>
    <row r="289" spans="1:7" x14ac:dyDescent="0.3">
      <c r="A289" t="s">
        <v>347</v>
      </c>
      <c r="B289" t="s">
        <v>348</v>
      </c>
      <c r="C289">
        <v>4.5999999999999996</v>
      </c>
      <c r="D289">
        <v>22536</v>
      </c>
      <c r="E289">
        <v>12</v>
      </c>
      <c r="F289">
        <v>2018</v>
      </c>
      <c r="G289" t="s">
        <v>12</v>
      </c>
    </row>
    <row r="290" spans="1:7" x14ac:dyDescent="0.3">
      <c r="A290" t="s">
        <v>349</v>
      </c>
      <c r="B290" t="s">
        <v>350</v>
      </c>
      <c r="C290">
        <v>4.9000000000000004</v>
      </c>
      <c r="D290">
        <v>7150</v>
      </c>
      <c r="E290">
        <v>12</v>
      </c>
      <c r="F290">
        <v>2013</v>
      </c>
      <c r="G290" t="s">
        <v>12</v>
      </c>
    </row>
    <row r="291" spans="1:7" x14ac:dyDescent="0.3">
      <c r="A291" t="s">
        <v>351</v>
      </c>
      <c r="B291" t="s">
        <v>350</v>
      </c>
      <c r="C291">
        <v>4.9000000000000004</v>
      </c>
      <c r="D291">
        <v>3836</v>
      </c>
      <c r="E291">
        <v>12</v>
      </c>
      <c r="F291">
        <v>2014</v>
      </c>
      <c r="G291" t="s">
        <v>12</v>
      </c>
    </row>
    <row r="292" spans="1:7" x14ac:dyDescent="0.3">
      <c r="A292" t="s">
        <v>352</v>
      </c>
      <c r="B292" t="s">
        <v>353</v>
      </c>
      <c r="C292">
        <v>4.8</v>
      </c>
      <c r="D292">
        <v>7802</v>
      </c>
      <c r="E292">
        <v>20</v>
      </c>
      <c r="F292">
        <v>2018</v>
      </c>
      <c r="G292" t="s">
        <v>9</v>
      </c>
    </row>
    <row r="293" spans="1:7" x14ac:dyDescent="0.3">
      <c r="A293" t="s">
        <v>352</v>
      </c>
      <c r="B293" t="s">
        <v>353</v>
      </c>
      <c r="C293">
        <v>4.8</v>
      </c>
      <c r="D293">
        <v>7802</v>
      </c>
      <c r="E293">
        <v>20</v>
      </c>
      <c r="F293">
        <v>2019</v>
      </c>
      <c r="G293" t="s">
        <v>9</v>
      </c>
    </row>
    <row r="294" spans="1:7" x14ac:dyDescent="0.3">
      <c r="A294" t="s">
        <v>354</v>
      </c>
      <c r="B294" t="s">
        <v>355</v>
      </c>
      <c r="C294">
        <v>4.5999999999999996</v>
      </c>
      <c r="D294">
        <v>3619</v>
      </c>
      <c r="E294">
        <v>10</v>
      </c>
      <c r="F294">
        <v>2010</v>
      </c>
      <c r="G294" t="s">
        <v>12</v>
      </c>
    </row>
    <row r="295" spans="1:7" x14ac:dyDescent="0.3">
      <c r="A295" t="s">
        <v>356</v>
      </c>
      <c r="B295" t="s">
        <v>357</v>
      </c>
      <c r="C295">
        <v>4.8</v>
      </c>
      <c r="D295">
        <v>23047</v>
      </c>
      <c r="E295">
        <v>6</v>
      </c>
      <c r="F295">
        <v>2018</v>
      </c>
      <c r="G295" t="s">
        <v>9</v>
      </c>
    </row>
    <row r="296" spans="1:7" x14ac:dyDescent="0.3">
      <c r="A296" t="s">
        <v>356</v>
      </c>
      <c r="B296" t="s">
        <v>357</v>
      </c>
      <c r="C296">
        <v>4.8</v>
      </c>
      <c r="D296">
        <v>23047</v>
      </c>
      <c r="E296">
        <v>6</v>
      </c>
      <c r="F296">
        <v>2019</v>
      </c>
      <c r="G296" t="s">
        <v>9</v>
      </c>
    </row>
    <row r="297" spans="1:7" x14ac:dyDescent="0.3">
      <c r="A297" t="s">
        <v>358</v>
      </c>
      <c r="B297" t="s">
        <v>149</v>
      </c>
      <c r="C297">
        <v>4.7</v>
      </c>
      <c r="D297">
        <v>9366</v>
      </c>
      <c r="E297">
        <v>9</v>
      </c>
      <c r="F297">
        <v>2015</v>
      </c>
      <c r="G297" t="s">
        <v>9</v>
      </c>
    </row>
    <row r="298" spans="1:7" x14ac:dyDescent="0.3">
      <c r="A298" t="s">
        <v>359</v>
      </c>
      <c r="B298" t="s">
        <v>360</v>
      </c>
      <c r="C298">
        <v>4.7</v>
      </c>
      <c r="D298">
        <v>1265</v>
      </c>
      <c r="E298">
        <v>11</v>
      </c>
      <c r="F298">
        <v>2010</v>
      </c>
      <c r="G298" t="s">
        <v>9</v>
      </c>
    </row>
    <row r="299" spans="1:7" x14ac:dyDescent="0.3">
      <c r="A299" t="s">
        <v>361</v>
      </c>
      <c r="B299" t="s">
        <v>362</v>
      </c>
      <c r="C299">
        <v>4.8</v>
      </c>
      <c r="D299">
        <v>3923</v>
      </c>
      <c r="E299">
        <v>16</v>
      </c>
      <c r="F299">
        <v>2018</v>
      </c>
      <c r="G299" t="s">
        <v>9</v>
      </c>
    </row>
    <row r="300" spans="1:7" x14ac:dyDescent="0.3">
      <c r="A300" t="s">
        <v>363</v>
      </c>
      <c r="B300" t="s">
        <v>364</v>
      </c>
      <c r="C300">
        <v>4.0999999999999996</v>
      </c>
      <c r="D300">
        <v>2272</v>
      </c>
      <c r="E300">
        <v>6</v>
      </c>
      <c r="F300">
        <v>2013</v>
      </c>
      <c r="G300" t="s">
        <v>9</v>
      </c>
    </row>
    <row r="301" spans="1:7" x14ac:dyDescent="0.3">
      <c r="A301" t="s">
        <v>365</v>
      </c>
      <c r="B301" t="s">
        <v>105</v>
      </c>
      <c r="C301">
        <v>4.7</v>
      </c>
      <c r="D301">
        <v>973</v>
      </c>
      <c r="E301">
        <v>25</v>
      </c>
      <c r="F301">
        <v>2009</v>
      </c>
      <c r="G301" t="s">
        <v>12</v>
      </c>
    </row>
    <row r="302" spans="1:7" x14ac:dyDescent="0.3">
      <c r="A302" t="s">
        <v>366</v>
      </c>
      <c r="B302" t="s">
        <v>124</v>
      </c>
      <c r="C302">
        <v>4.5999999999999996</v>
      </c>
      <c r="D302">
        <v>220</v>
      </c>
      <c r="E302">
        <v>17</v>
      </c>
      <c r="F302">
        <v>2013</v>
      </c>
      <c r="G302" t="s">
        <v>9</v>
      </c>
    </row>
    <row r="303" spans="1:7" x14ac:dyDescent="0.3">
      <c r="A303" t="s">
        <v>367</v>
      </c>
      <c r="B303" t="s">
        <v>275</v>
      </c>
      <c r="C303">
        <v>4.5999999999999996</v>
      </c>
      <c r="D303">
        <v>7827</v>
      </c>
      <c r="E303">
        <v>20</v>
      </c>
      <c r="F303">
        <v>2011</v>
      </c>
      <c r="G303" t="s">
        <v>9</v>
      </c>
    </row>
    <row r="304" spans="1:7" x14ac:dyDescent="0.3">
      <c r="A304" t="s">
        <v>367</v>
      </c>
      <c r="B304" t="s">
        <v>275</v>
      </c>
      <c r="C304">
        <v>4.5999999999999996</v>
      </c>
      <c r="D304">
        <v>7827</v>
      </c>
      <c r="E304">
        <v>20</v>
      </c>
      <c r="F304">
        <v>2012</v>
      </c>
      <c r="G304" t="s">
        <v>9</v>
      </c>
    </row>
    <row r="305" spans="1:7" x14ac:dyDescent="0.3">
      <c r="A305" t="s">
        <v>368</v>
      </c>
      <c r="B305" t="s">
        <v>369</v>
      </c>
      <c r="C305">
        <v>4.9000000000000004</v>
      </c>
      <c r="D305">
        <v>9382</v>
      </c>
      <c r="E305">
        <v>6</v>
      </c>
      <c r="F305">
        <v>2019</v>
      </c>
      <c r="G305" t="s">
        <v>12</v>
      </c>
    </row>
    <row r="306" spans="1:7" x14ac:dyDescent="0.3">
      <c r="A306" t="s">
        <v>370</v>
      </c>
      <c r="B306" t="s">
        <v>371</v>
      </c>
      <c r="C306">
        <v>4</v>
      </c>
      <c r="D306">
        <v>5069</v>
      </c>
      <c r="E306">
        <v>17</v>
      </c>
      <c r="F306">
        <v>2009</v>
      </c>
      <c r="G306" t="s">
        <v>9</v>
      </c>
    </row>
    <row r="307" spans="1:7" x14ac:dyDescent="0.3">
      <c r="A307" t="s">
        <v>370</v>
      </c>
      <c r="B307" t="s">
        <v>371</v>
      </c>
      <c r="C307">
        <v>4</v>
      </c>
      <c r="D307">
        <v>5069</v>
      </c>
      <c r="E307">
        <v>17</v>
      </c>
      <c r="F307">
        <v>2010</v>
      </c>
      <c r="G307" t="s">
        <v>9</v>
      </c>
    </row>
    <row r="308" spans="1:7" x14ac:dyDescent="0.3">
      <c r="A308" t="s">
        <v>370</v>
      </c>
      <c r="B308" t="s">
        <v>371</v>
      </c>
      <c r="C308">
        <v>4</v>
      </c>
      <c r="D308">
        <v>5069</v>
      </c>
      <c r="E308">
        <v>17</v>
      </c>
      <c r="F308">
        <v>2011</v>
      </c>
      <c r="G308" t="s">
        <v>9</v>
      </c>
    </row>
    <row r="309" spans="1:7" x14ac:dyDescent="0.3">
      <c r="A309" t="s">
        <v>370</v>
      </c>
      <c r="B309" t="s">
        <v>371</v>
      </c>
      <c r="C309">
        <v>4</v>
      </c>
      <c r="D309">
        <v>5069</v>
      </c>
      <c r="E309">
        <v>17</v>
      </c>
      <c r="F309">
        <v>2012</v>
      </c>
      <c r="G309" t="s">
        <v>9</v>
      </c>
    </row>
    <row r="310" spans="1:7" x14ac:dyDescent="0.3">
      <c r="A310" t="s">
        <v>370</v>
      </c>
      <c r="B310" t="s">
        <v>371</v>
      </c>
      <c r="C310">
        <v>4</v>
      </c>
      <c r="D310">
        <v>5069</v>
      </c>
      <c r="E310">
        <v>17</v>
      </c>
      <c r="F310">
        <v>2013</v>
      </c>
      <c r="G310" t="s">
        <v>9</v>
      </c>
    </row>
    <row r="311" spans="1:7" x14ac:dyDescent="0.3">
      <c r="A311" t="s">
        <v>370</v>
      </c>
      <c r="B311" t="s">
        <v>371</v>
      </c>
      <c r="C311">
        <v>4</v>
      </c>
      <c r="D311">
        <v>5069</v>
      </c>
      <c r="E311">
        <v>17</v>
      </c>
      <c r="F311">
        <v>2014</v>
      </c>
      <c r="G311" t="s">
        <v>9</v>
      </c>
    </row>
    <row r="312" spans="1:7" x14ac:dyDescent="0.3">
      <c r="A312" t="s">
        <v>370</v>
      </c>
      <c r="B312" t="s">
        <v>371</v>
      </c>
      <c r="C312">
        <v>4</v>
      </c>
      <c r="D312">
        <v>5069</v>
      </c>
      <c r="E312">
        <v>17</v>
      </c>
      <c r="F312">
        <v>2015</v>
      </c>
      <c r="G312" t="s">
        <v>9</v>
      </c>
    </row>
    <row r="313" spans="1:7" x14ac:dyDescent="0.3">
      <c r="A313" t="s">
        <v>370</v>
      </c>
      <c r="B313" t="s">
        <v>371</v>
      </c>
      <c r="C313">
        <v>4</v>
      </c>
      <c r="D313">
        <v>5069</v>
      </c>
      <c r="E313">
        <v>17</v>
      </c>
      <c r="F313">
        <v>2016</v>
      </c>
      <c r="G313" t="s">
        <v>9</v>
      </c>
    </row>
    <row r="314" spans="1:7" x14ac:dyDescent="0.3">
      <c r="A314" t="s">
        <v>370</v>
      </c>
      <c r="B314" t="s">
        <v>371</v>
      </c>
      <c r="C314">
        <v>4</v>
      </c>
      <c r="D314">
        <v>5069</v>
      </c>
      <c r="E314">
        <v>17</v>
      </c>
      <c r="F314">
        <v>2017</v>
      </c>
      <c r="G314" t="s">
        <v>9</v>
      </c>
    </row>
    <row r="315" spans="1:7" x14ac:dyDescent="0.3">
      <c r="A315" t="s">
        <v>372</v>
      </c>
      <c r="B315" t="s">
        <v>373</v>
      </c>
      <c r="C315">
        <v>4.5</v>
      </c>
      <c r="D315">
        <v>1583</v>
      </c>
      <c r="E315">
        <v>18</v>
      </c>
      <c r="F315">
        <v>2009</v>
      </c>
      <c r="G315" t="s">
        <v>9</v>
      </c>
    </row>
    <row r="316" spans="1:7" x14ac:dyDescent="0.3">
      <c r="A316" t="s">
        <v>374</v>
      </c>
      <c r="B316" t="s">
        <v>375</v>
      </c>
      <c r="C316">
        <v>4.5999999999999996</v>
      </c>
      <c r="D316">
        <v>1907</v>
      </c>
      <c r="E316">
        <v>13</v>
      </c>
      <c r="F316">
        <v>2010</v>
      </c>
      <c r="G316" t="s">
        <v>9</v>
      </c>
    </row>
    <row r="317" spans="1:7" x14ac:dyDescent="0.3">
      <c r="A317" t="s">
        <v>376</v>
      </c>
      <c r="B317" t="s">
        <v>377</v>
      </c>
      <c r="C317">
        <v>4.5</v>
      </c>
      <c r="D317">
        <v>23114</v>
      </c>
      <c r="E317">
        <v>18</v>
      </c>
      <c r="F317">
        <v>2013</v>
      </c>
      <c r="G317" t="s">
        <v>12</v>
      </c>
    </row>
    <row r="318" spans="1:7" x14ac:dyDescent="0.3">
      <c r="A318" t="s">
        <v>378</v>
      </c>
      <c r="B318" t="s">
        <v>379</v>
      </c>
      <c r="C318">
        <v>4.4000000000000004</v>
      </c>
      <c r="D318">
        <v>637</v>
      </c>
      <c r="E318">
        <v>20</v>
      </c>
      <c r="F318">
        <v>2010</v>
      </c>
      <c r="G318" t="s">
        <v>9</v>
      </c>
    </row>
    <row r="319" spans="1:7" x14ac:dyDescent="0.3">
      <c r="A319" t="s">
        <v>378</v>
      </c>
      <c r="B319" t="s">
        <v>379</v>
      </c>
      <c r="C319">
        <v>4.4000000000000004</v>
      </c>
      <c r="D319">
        <v>637</v>
      </c>
      <c r="E319">
        <v>20</v>
      </c>
      <c r="F319">
        <v>2011</v>
      </c>
      <c r="G319" t="s">
        <v>9</v>
      </c>
    </row>
    <row r="320" spans="1:7" x14ac:dyDescent="0.3">
      <c r="A320" t="s">
        <v>380</v>
      </c>
      <c r="B320" t="s">
        <v>381</v>
      </c>
      <c r="C320">
        <v>4.3</v>
      </c>
      <c r="D320">
        <v>2314</v>
      </c>
      <c r="E320">
        <v>22</v>
      </c>
      <c r="F320">
        <v>2011</v>
      </c>
      <c r="G320" t="s">
        <v>9</v>
      </c>
    </row>
    <row r="321" spans="1:7" x14ac:dyDescent="0.3">
      <c r="A321" t="s">
        <v>382</v>
      </c>
      <c r="B321" t="s">
        <v>383</v>
      </c>
      <c r="C321">
        <v>4.3</v>
      </c>
      <c r="D321">
        <v>4587</v>
      </c>
      <c r="E321">
        <v>21</v>
      </c>
      <c r="F321">
        <v>2011</v>
      </c>
      <c r="G321" t="s">
        <v>9</v>
      </c>
    </row>
    <row r="322" spans="1:7" x14ac:dyDescent="0.3">
      <c r="A322" t="s">
        <v>384</v>
      </c>
      <c r="B322" t="s">
        <v>385</v>
      </c>
      <c r="C322">
        <v>4.7</v>
      </c>
      <c r="D322">
        <v>3477</v>
      </c>
      <c r="E322">
        <v>28</v>
      </c>
      <c r="F322">
        <v>2010</v>
      </c>
      <c r="G322" t="s">
        <v>9</v>
      </c>
    </row>
    <row r="323" spans="1:7" x14ac:dyDescent="0.3">
      <c r="A323" t="s">
        <v>384</v>
      </c>
      <c r="B323" t="s">
        <v>385</v>
      </c>
      <c r="C323">
        <v>4.7</v>
      </c>
      <c r="D323">
        <v>3477</v>
      </c>
      <c r="E323">
        <v>28</v>
      </c>
      <c r="F323">
        <v>2011</v>
      </c>
      <c r="G323" t="s">
        <v>9</v>
      </c>
    </row>
    <row r="324" spans="1:7" x14ac:dyDescent="0.3">
      <c r="A324" t="s">
        <v>384</v>
      </c>
      <c r="B324" t="s">
        <v>385</v>
      </c>
      <c r="C324">
        <v>4.7</v>
      </c>
      <c r="D324">
        <v>3477</v>
      </c>
      <c r="E324">
        <v>28</v>
      </c>
      <c r="F324">
        <v>2012</v>
      </c>
      <c r="G324" t="s">
        <v>9</v>
      </c>
    </row>
    <row r="325" spans="1:7" x14ac:dyDescent="0.3">
      <c r="A325" t="s">
        <v>384</v>
      </c>
      <c r="B325" t="s">
        <v>385</v>
      </c>
      <c r="C325">
        <v>4.7</v>
      </c>
      <c r="D325">
        <v>3477</v>
      </c>
      <c r="E325">
        <v>28</v>
      </c>
      <c r="F325">
        <v>2013</v>
      </c>
      <c r="G325" t="s">
        <v>9</v>
      </c>
    </row>
    <row r="326" spans="1:7" x14ac:dyDescent="0.3">
      <c r="A326" t="s">
        <v>384</v>
      </c>
      <c r="B326" t="s">
        <v>385</v>
      </c>
      <c r="C326">
        <v>4.7</v>
      </c>
      <c r="D326">
        <v>3477</v>
      </c>
      <c r="E326">
        <v>28</v>
      </c>
      <c r="F326">
        <v>2014</v>
      </c>
      <c r="G326" t="s">
        <v>9</v>
      </c>
    </row>
    <row r="327" spans="1:7" x14ac:dyDescent="0.3">
      <c r="A327" t="s">
        <v>386</v>
      </c>
      <c r="B327" t="s">
        <v>385</v>
      </c>
      <c r="C327">
        <v>4.8</v>
      </c>
      <c r="D327">
        <v>25554</v>
      </c>
      <c r="E327">
        <v>8</v>
      </c>
      <c r="F327">
        <v>2015</v>
      </c>
      <c r="G327" t="s">
        <v>9</v>
      </c>
    </row>
    <row r="328" spans="1:7" x14ac:dyDescent="0.3">
      <c r="A328" t="s">
        <v>386</v>
      </c>
      <c r="B328" t="s">
        <v>385</v>
      </c>
      <c r="C328">
        <v>4.8</v>
      </c>
      <c r="D328">
        <v>25554</v>
      </c>
      <c r="E328">
        <v>8</v>
      </c>
      <c r="F328">
        <v>2016</v>
      </c>
      <c r="G328" t="s">
        <v>9</v>
      </c>
    </row>
    <row r="329" spans="1:7" x14ac:dyDescent="0.3">
      <c r="A329" t="s">
        <v>386</v>
      </c>
      <c r="B329" t="s">
        <v>385</v>
      </c>
      <c r="C329">
        <v>4.8</v>
      </c>
      <c r="D329">
        <v>25554</v>
      </c>
      <c r="E329">
        <v>8</v>
      </c>
      <c r="F329">
        <v>2017</v>
      </c>
      <c r="G329" t="s">
        <v>9</v>
      </c>
    </row>
    <row r="330" spans="1:7" x14ac:dyDescent="0.3">
      <c r="A330" t="s">
        <v>386</v>
      </c>
      <c r="B330" t="s">
        <v>385</v>
      </c>
      <c r="C330">
        <v>4.8</v>
      </c>
      <c r="D330">
        <v>25554</v>
      </c>
      <c r="E330">
        <v>8</v>
      </c>
      <c r="F330">
        <v>2018</v>
      </c>
      <c r="G330" t="s">
        <v>9</v>
      </c>
    </row>
    <row r="331" spans="1:7" x14ac:dyDescent="0.3">
      <c r="A331" t="s">
        <v>386</v>
      </c>
      <c r="B331" t="s">
        <v>385</v>
      </c>
      <c r="C331">
        <v>4.8</v>
      </c>
      <c r="D331">
        <v>25554</v>
      </c>
      <c r="E331">
        <v>8</v>
      </c>
      <c r="F331">
        <v>2019</v>
      </c>
      <c r="G331" t="s">
        <v>9</v>
      </c>
    </row>
    <row r="332" spans="1:7" x14ac:dyDescent="0.3">
      <c r="A332" t="s">
        <v>387</v>
      </c>
      <c r="B332" t="s">
        <v>388</v>
      </c>
      <c r="C332">
        <v>4.8</v>
      </c>
      <c r="D332">
        <v>1680</v>
      </c>
      <c r="E332">
        <v>12</v>
      </c>
      <c r="F332">
        <v>2009</v>
      </c>
      <c r="G332" t="s">
        <v>9</v>
      </c>
    </row>
    <row r="333" spans="1:7" x14ac:dyDescent="0.3">
      <c r="A333" t="s">
        <v>389</v>
      </c>
      <c r="B333" t="s">
        <v>390</v>
      </c>
      <c r="C333">
        <v>4.5999999999999996</v>
      </c>
      <c r="D333">
        <v>9325</v>
      </c>
      <c r="E333">
        <v>24</v>
      </c>
      <c r="F333">
        <v>2009</v>
      </c>
      <c r="G333" t="s">
        <v>9</v>
      </c>
    </row>
    <row r="334" spans="1:7" x14ac:dyDescent="0.3">
      <c r="A334" t="s">
        <v>389</v>
      </c>
      <c r="B334" t="s">
        <v>390</v>
      </c>
      <c r="C334">
        <v>4.5999999999999996</v>
      </c>
      <c r="D334">
        <v>9325</v>
      </c>
      <c r="E334">
        <v>24</v>
      </c>
      <c r="F334">
        <v>2011</v>
      </c>
      <c r="G334" t="s">
        <v>9</v>
      </c>
    </row>
    <row r="335" spans="1:7" x14ac:dyDescent="0.3">
      <c r="A335" t="s">
        <v>389</v>
      </c>
      <c r="B335" t="s">
        <v>390</v>
      </c>
      <c r="C335">
        <v>4.5999999999999996</v>
      </c>
      <c r="D335">
        <v>9325</v>
      </c>
      <c r="E335">
        <v>24</v>
      </c>
      <c r="F335">
        <v>2012</v>
      </c>
      <c r="G335" t="s">
        <v>9</v>
      </c>
    </row>
    <row r="336" spans="1:7" x14ac:dyDescent="0.3">
      <c r="A336" t="s">
        <v>389</v>
      </c>
      <c r="B336" t="s">
        <v>390</v>
      </c>
      <c r="C336">
        <v>4.5999999999999996</v>
      </c>
      <c r="D336">
        <v>9325</v>
      </c>
      <c r="E336">
        <v>24</v>
      </c>
      <c r="F336">
        <v>2013</v>
      </c>
      <c r="G336" t="s">
        <v>9</v>
      </c>
    </row>
    <row r="337" spans="1:7" x14ac:dyDescent="0.3">
      <c r="A337" t="s">
        <v>389</v>
      </c>
      <c r="B337" t="s">
        <v>390</v>
      </c>
      <c r="C337">
        <v>4.7</v>
      </c>
      <c r="D337">
        <v>4725</v>
      </c>
      <c r="E337">
        <v>16</v>
      </c>
      <c r="F337">
        <v>2015</v>
      </c>
      <c r="G337" t="s">
        <v>9</v>
      </c>
    </row>
    <row r="338" spans="1:7" x14ac:dyDescent="0.3">
      <c r="A338" t="s">
        <v>389</v>
      </c>
      <c r="B338" t="s">
        <v>390</v>
      </c>
      <c r="C338">
        <v>4.7</v>
      </c>
      <c r="D338">
        <v>4725</v>
      </c>
      <c r="E338">
        <v>16</v>
      </c>
      <c r="F338">
        <v>2016</v>
      </c>
      <c r="G338" t="s">
        <v>9</v>
      </c>
    </row>
    <row r="339" spans="1:7" x14ac:dyDescent="0.3">
      <c r="A339" t="s">
        <v>389</v>
      </c>
      <c r="B339" t="s">
        <v>390</v>
      </c>
      <c r="C339">
        <v>4.7</v>
      </c>
      <c r="D339">
        <v>4725</v>
      </c>
      <c r="E339">
        <v>16</v>
      </c>
      <c r="F339">
        <v>2017</v>
      </c>
      <c r="G339" t="s">
        <v>9</v>
      </c>
    </row>
    <row r="340" spans="1:7" x14ac:dyDescent="0.3">
      <c r="A340" t="s">
        <v>391</v>
      </c>
      <c r="B340" t="s">
        <v>392</v>
      </c>
      <c r="C340">
        <v>4.7</v>
      </c>
      <c r="D340">
        <v>35799</v>
      </c>
      <c r="E340">
        <v>39</v>
      </c>
      <c r="F340">
        <v>2014</v>
      </c>
      <c r="G340" t="s">
        <v>12</v>
      </c>
    </row>
    <row r="341" spans="1:7" x14ac:dyDescent="0.3">
      <c r="A341" t="s">
        <v>393</v>
      </c>
      <c r="B341" t="s">
        <v>394</v>
      </c>
      <c r="C341">
        <v>4.5999999999999996</v>
      </c>
      <c r="D341">
        <v>2580</v>
      </c>
      <c r="E341">
        <v>9</v>
      </c>
      <c r="F341">
        <v>2012</v>
      </c>
      <c r="G341" t="s">
        <v>9</v>
      </c>
    </row>
    <row r="342" spans="1:7" x14ac:dyDescent="0.3">
      <c r="A342" t="s">
        <v>395</v>
      </c>
      <c r="B342" t="s">
        <v>396</v>
      </c>
      <c r="C342">
        <v>4.7</v>
      </c>
      <c r="D342">
        <v>11813</v>
      </c>
      <c r="E342">
        <v>10</v>
      </c>
      <c r="F342">
        <v>2010</v>
      </c>
      <c r="G342" t="s">
        <v>12</v>
      </c>
    </row>
    <row r="343" spans="1:7" x14ac:dyDescent="0.3">
      <c r="A343" t="s">
        <v>395</v>
      </c>
      <c r="B343" t="s">
        <v>396</v>
      </c>
      <c r="C343">
        <v>4.7</v>
      </c>
      <c r="D343">
        <v>11813</v>
      </c>
      <c r="E343">
        <v>10</v>
      </c>
      <c r="F343">
        <v>2011</v>
      </c>
      <c r="G343" t="s">
        <v>12</v>
      </c>
    </row>
    <row r="344" spans="1:7" x14ac:dyDescent="0.3">
      <c r="A344" t="s">
        <v>397</v>
      </c>
      <c r="B344" t="s">
        <v>398</v>
      </c>
      <c r="C344">
        <v>4.7</v>
      </c>
      <c r="D344">
        <v>3536</v>
      </c>
      <c r="E344">
        <v>17</v>
      </c>
      <c r="F344">
        <v>2010</v>
      </c>
      <c r="G344" t="s">
        <v>9</v>
      </c>
    </row>
    <row r="345" spans="1:7" x14ac:dyDescent="0.3">
      <c r="A345" t="s">
        <v>399</v>
      </c>
      <c r="B345" t="s">
        <v>333</v>
      </c>
      <c r="C345">
        <v>4.8</v>
      </c>
      <c r="D345">
        <v>6600</v>
      </c>
      <c r="E345">
        <v>11</v>
      </c>
      <c r="F345">
        <v>2014</v>
      </c>
      <c r="G345" t="s">
        <v>12</v>
      </c>
    </row>
    <row r="346" spans="1:7" x14ac:dyDescent="0.3">
      <c r="A346" t="s">
        <v>400</v>
      </c>
      <c r="B346" t="s">
        <v>401</v>
      </c>
      <c r="C346">
        <v>4.2</v>
      </c>
      <c r="D346">
        <v>1789</v>
      </c>
      <c r="E346">
        <v>14</v>
      </c>
      <c r="F346">
        <v>2012</v>
      </c>
      <c r="G346" t="s">
        <v>9</v>
      </c>
    </row>
    <row r="347" spans="1:7" x14ac:dyDescent="0.3">
      <c r="A347" t="s">
        <v>402</v>
      </c>
      <c r="B347" t="s">
        <v>403</v>
      </c>
      <c r="C347">
        <v>4.8</v>
      </c>
      <c r="D347">
        <v>12361</v>
      </c>
      <c r="E347">
        <v>12</v>
      </c>
      <c r="F347">
        <v>2019</v>
      </c>
      <c r="G347" t="s">
        <v>9</v>
      </c>
    </row>
    <row r="348" spans="1:7" x14ac:dyDescent="0.3">
      <c r="A348" t="s">
        <v>404</v>
      </c>
      <c r="B348" t="s">
        <v>405</v>
      </c>
      <c r="C348">
        <v>4.7</v>
      </c>
      <c r="D348">
        <v>858</v>
      </c>
      <c r="E348">
        <v>53</v>
      </c>
      <c r="F348">
        <v>2009</v>
      </c>
      <c r="G348" t="s">
        <v>9</v>
      </c>
    </row>
    <row r="349" spans="1:7" x14ac:dyDescent="0.3">
      <c r="A349" t="s">
        <v>406</v>
      </c>
      <c r="B349" t="s">
        <v>407</v>
      </c>
      <c r="C349">
        <v>4.5999999999999996</v>
      </c>
      <c r="D349">
        <v>23148</v>
      </c>
      <c r="E349">
        <v>6</v>
      </c>
      <c r="F349">
        <v>2013</v>
      </c>
      <c r="G349" t="s">
        <v>12</v>
      </c>
    </row>
    <row r="350" spans="1:7" x14ac:dyDescent="0.3">
      <c r="A350" t="s">
        <v>406</v>
      </c>
      <c r="B350" t="s">
        <v>407</v>
      </c>
      <c r="C350">
        <v>4.5999999999999996</v>
      </c>
      <c r="D350">
        <v>23148</v>
      </c>
      <c r="E350">
        <v>6</v>
      </c>
      <c r="F350">
        <v>2014</v>
      </c>
      <c r="G350" t="s">
        <v>12</v>
      </c>
    </row>
    <row r="351" spans="1:7" x14ac:dyDescent="0.3">
      <c r="A351" t="s">
        <v>408</v>
      </c>
      <c r="B351" t="s">
        <v>409</v>
      </c>
      <c r="C351">
        <v>4.8</v>
      </c>
      <c r="D351">
        <v>8081</v>
      </c>
      <c r="E351">
        <v>8</v>
      </c>
      <c r="F351">
        <v>2014</v>
      </c>
      <c r="G351" t="s">
        <v>12</v>
      </c>
    </row>
    <row r="352" spans="1:7" x14ac:dyDescent="0.3">
      <c r="A352" t="s">
        <v>408</v>
      </c>
      <c r="B352" t="s">
        <v>409</v>
      </c>
      <c r="C352">
        <v>4.8</v>
      </c>
      <c r="D352">
        <v>8081</v>
      </c>
      <c r="E352">
        <v>8</v>
      </c>
      <c r="F352">
        <v>2015</v>
      </c>
      <c r="G352" t="s">
        <v>12</v>
      </c>
    </row>
    <row r="353" spans="1:7" x14ac:dyDescent="0.3">
      <c r="A353" t="s">
        <v>410</v>
      </c>
      <c r="B353" t="s">
        <v>411</v>
      </c>
      <c r="C353">
        <v>4.8</v>
      </c>
      <c r="D353">
        <v>23358</v>
      </c>
      <c r="E353">
        <v>12</v>
      </c>
      <c r="F353">
        <v>2014</v>
      </c>
      <c r="G353" t="s">
        <v>9</v>
      </c>
    </row>
    <row r="354" spans="1:7" x14ac:dyDescent="0.3">
      <c r="A354" t="s">
        <v>410</v>
      </c>
      <c r="B354" t="s">
        <v>411</v>
      </c>
      <c r="C354">
        <v>4.8</v>
      </c>
      <c r="D354">
        <v>23358</v>
      </c>
      <c r="E354">
        <v>12</v>
      </c>
      <c r="F354">
        <v>2015</v>
      </c>
      <c r="G354" t="s">
        <v>9</v>
      </c>
    </row>
    <row r="355" spans="1:7" x14ac:dyDescent="0.3">
      <c r="A355" t="s">
        <v>412</v>
      </c>
      <c r="B355" t="s">
        <v>153</v>
      </c>
      <c r="C355">
        <v>3.3</v>
      </c>
      <c r="D355">
        <v>9372</v>
      </c>
      <c r="E355">
        <v>12</v>
      </c>
      <c r="F355">
        <v>2012</v>
      </c>
      <c r="G355" t="s">
        <v>12</v>
      </c>
    </row>
    <row r="356" spans="1:7" x14ac:dyDescent="0.3">
      <c r="A356" t="s">
        <v>413</v>
      </c>
      <c r="B356" t="s">
        <v>414</v>
      </c>
      <c r="C356">
        <v>4.7</v>
      </c>
      <c r="D356">
        <v>4633</v>
      </c>
      <c r="E356">
        <v>21</v>
      </c>
      <c r="F356">
        <v>2011</v>
      </c>
      <c r="G356" t="s">
        <v>9</v>
      </c>
    </row>
    <row r="357" spans="1:7" x14ac:dyDescent="0.3">
      <c r="A357" t="s">
        <v>415</v>
      </c>
      <c r="B357" t="s">
        <v>416</v>
      </c>
      <c r="C357">
        <v>4.3</v>
      </c>
      <c r="D357">
        <v>13061</v>
      </c>
      <c r="E357">
        <v>6</v>
      </c>
      <c r="F357">
        <v>2018</v>
      </c>
      <c r="G357" t="s">
        <v>9</v>
      </c>
    </row>
    <row r="358" spans="1:7" x14ac:dyDescent="0.3">
      <c r="A358" t="s">
        <v>415</v>
      </c>
      <c r="B358" t="s">
        <v>416</v>
      </c>
      <c r="C358">
        <v>4.3</v>
      </c>
      <c r="D358">
        <v>13061</v>
      </c>
      <c r="E358">
        <v>6</v>
      </c>
      <c r="F358">
        <v>2019</v>
      </c>
      <c r="G358" t="s">
        <v>9</v>
      </c>
    </row>
    <row r="359" spans="1:7" x14ac:dyDescent="0.3">
      <c r="A359" t="s">
        <v>417</v>
      </c>
      <c r="B359" t="s">
        <v>377</v>
      </c>
      <c r="C359">
        <v>4.3</v>
      </c>
      <c r="D359">
        <v>3523</v>
      </c>
      <c r="E359">
        <v>13</v>
      </c>
      <c r="F359">
        <v>2010</v>
      </c>
      <c r="G359" t="s">
        <v>12</v>
      </c>
    </row>
    <row r="360" spans="1:7" x14ac:dyDescent="0.3">
      <c r="A360" t="s">
        <v>418</v>
      </c>
      <c r="B360" t="s">
        <v>419</v>
      </c>
      <c r="C360">
        <v>4.8</v>
      </c>
      <c r="D360">
        <v>2774</v>
      </c>
      <c r="E360">
        <v>0</v>
      </c>
      <c r="F360">
        <v>2016</v>
      </c>
      <c r="G360" t="s">
        <v>9</v>
      </c>
    </row>
    <row r="361" spans="1:7" x14ac:dyDescent="0.3">
      <c r="A361" t="s">
        <v>420</v>
      </c>
      <c r="B361" t="s">
        <v>421</v>
      </c>
      <c r="C361">
        <v>4.4000000000000004</v>
      </c>
      <c r="D361">
        <v>440</v>
      </c>
      <c r="E361">
        <v>11</v>
      </c>
      <c r="F361">
        <v>2010</v>
      </c>
      <c r="G361" t="s">
        <v>9</v>
      </c>
    </row>
    <row r="362" spans="1:7" x14ac:dyDescent="0.3">
      <c r="A362" t="s">
        <v>422</v>
      </c>
      <c r="B362" t="s">
        <v>423</v>
      </c>
      <c r="C362">
        <v>4.8</v>
      </c>
      <c r="D362">
        <v>8922</v>
      </c>
      <c r="E362">
        <v>9</v>
      </c>
      <c r="F362">
        <v>2013</v>
      </c>
      <c r="G362" t="s">
        <v>12</v>
      </c>
    </row>
    <row r="363" spans="1:7" x14ac:dyDescent="0.3">
      <c r="A363" t="s">
        <v>422</v>
      </c>
      <c r="B363" t="s">
        <v>423</v>
      </c>
      <c r="C363">
        <v>4.8</v>
      </c>
      <c r="D363">
        <v>8922</v>
      </c>
      <c r="E363">
        <v>9</v>
      </c>
      <c r="F363">
        <v>2014</v>
      </c>
      <c r="G363" t="s">
        <v>12</v>
      </c>
    </row>
    <row r="364" spans="1:7" x14ac:dyDescent="0.3">
      <c r="A364" t="s">
        <v>422</v>
      </c>
      <c r="B364" t="s">
        <v>423</v>
      </c>
      <c r="C364">
        <v>4.8</v>
      </c>
      <c r="D364">
        <v>8922</v>
      </c>
      <c r="E364">
        <v>9</v>
      </c>
      <c r="F364">
        <v>2015</v>
      </c>
      <c r="G364" t="s">
        <v>12</v>
      </c>
    </row>
    <row r="365" spans="1:7" x14ac:dyDescent="0.3">
      <c r="A365" t="s">
        <v>424</v>
      </c>
      <c r="B365" t="s">
        <v>425</v>
      </c>
      <c r="C365">
        <v>4.0999999999999996</v>
      </c>
      <c r="D365">
        <v>2023</v>
      </c>
      <c r="E365">
        <v>15</v>
      </c>
      <c r="F365">
        <v>2011</v>
      </c>
      <c r="G365" t="s">
        <v>9</v>
      </c>
    </row>
    <row r="366" spans="1:7" x14ac:dyDescent="0.3">
      <c r="A366" t="s">
        <v>426</v>
      </c>
      <c r="B366" t="s">
        <v>427</v>
      </c>
      <c r="C366">
        <v>4</v>
      </c>
      <c r="D366">
        <v>1859</v>
      </c>
      <c r="E366">
        <v>11</v>
      </c>
      <c r="F366">
        <v>2009</v>
      </c>
      <c r="G366" t="s">
        <v>12</v>
      </c>
    </row>
    <row r="367" spans="1:7" x14ac:dyDescent="0.3">
      <c r="A367" t="s">
        <v>428</v>
      </c>
      <c r="B367" t="s">
        <v>289</v>
      </c>
      <c r="C367">
        <v>4.7</v>
      </c>
      <c r="D367">
        <v>50482</v>
      </c>
      <c r="E367">
        <v>13</v>
      </c>
      <c r="F367">
        <v>2012</v>
      </c>
      <c r="G367" t="s">
        <v>12</v>
      </c>
    </row>
    <row r="368" spans="1:7" x14ac:dyDescent="0.3">
      <c r="A368" t="s">
        <v>428</v>
      </c>
      <c r="B368" t="s">
        <v>289</v>
      </c>
      <c r="C368">
        <v>4.7</v>
      </c>
      <c r="D368">
        <v>50482</v>
      </c>
      <c r="E368">
        <v>13</v>
      </c>
      <c r="F368">
        <v>2013</v>
      </c>
      <c r="G368" t="s">
        <v>12</v>
      </c>
    </row>
    <row r="369" spans="1:7" x14ac:dyDescent="0.3">
      <c r="A369" t="s">
        <v>428</v>
      </c>
      <c r="B369" t="s">
        <v>289</v>
      </c>
      <c r="C369">
        <v>4.7</v>
      </c>
      <c r="D369">
        <v>50482</v>
      </c>
      <c r="E369">
        <v>7</v>
      </c>
      <c r="F369">
        <v>2014</v>
      </c>
      <c r="G369" t="s">
        <v>12</v>
      </c>
    </row>
    <row r="370" spans="1:7" x14ac:dyDescent="0.3">
      <c r="A370" t="s">
        <v>428</v>
      </c>
      <c r="B370" t="s">
        <v>289</v>
      </c>
      <c r="C370">
        <v>4.7</v>
      </c>
      <c r="D370">
        <v>50482</v>
      </c>
      <c r="E370">
        <v>13</v>
      </c>
      <c r="F370">
        <v>2014</v>
      </c>
      <c r="G370" t="s">
        <v>12</v>
      </c>
    </row>
    <row r="371" spans="1:7" x14ac:dyDescent="0.3">
      <c r="A371" t="s">
        <v>429</v>
      </c>
      <c r="B371" t="s">
        <v>430</v>
      </c>
      <c r="C371">
        <v>4.5999999999999996</v>
      </c>
      <c r="D371">
        <v>3207</v>
      </c>
      <c r="E371">
        <v>6</v>
      </c>
      <c r="F371">
        <v>2009</v>
      </c>
      <c r="G371" t="s">
        <v>9</v>
      </c>
    </row>
    <row r="372" spans="1:7" x14ac:dyDescent="0.3">
      <c r="A372" t="s">
        <v>429</v>
      </c>
      <c r="B372" t="s">
        <v>430</v>
      </c>
      <c r="C372">
        <v>4.5999999999999996</v>
      </c>
      <c r="D372">
        <v>3207</v>
      </c>
      <c r="E372">
        <v>6</v>
      </c>
      <c r="F372">
        <v>2010</v>
      </c>
      <c r="G372" t="s">
        <v>9</v>
      </c>
    </row>
    <row r="373" spans="1:7" x14ac:dyDescent="0.3">
      <c r="A373" t="s">
        <v>429</v>
      </c>
      <c r="B373" t="s">
        <v>430</v>
      </c>
      <c r="C373">
        <v>4.5999999999999996</v>
      </c>
      <c r="D373">
        <v>3207</v>
      </c>
      <c r="E373">
        <v>6</v>
      </c>
      <c r="F373">
        <v>2011</v>
      </c>
      <c r="G373" t="s">
        <v>9</v>
      </c>
    </row>
    <row r="374" spans="1:7" x14ac:dyDescent="0.3">
      <c r="A374" t="s">
        <v>429</v>
      </c>
      <c r="B374" t="s">
        <v>430</v>
      </c>
      <c r="C374">
        <v>4.5999999999999996</v>
      </c>
      <c r="D374">
        <v>3207</v>
      </c>
      <c r="E374">
        <v>6</v>
      </c>
      <c r="F374">
        <v>2012</v>
      </c>
      <c r="G374" t="s">
        <v>9</v>
      </c>
    </row>
    <row r="375" spans="1:7" x14ac:dyDescent="0.3">
      <c r="A375" t="s">
        <v>429</v>
      </c>
      <c r="B375" t="s">
        <v>430</v>
      </c>
      <c r="C375">
        <v>4.5999999999999996</v>
      </c>
      <c r="D375">
        <v>3207</v>
      </c>
      <c r="E375">
        <v>6</v>
      </c>
      <c r="F375">
        <v>2013</v>
      </c>
      <c r="G375" t="s">
        <v>9</v>
      </c>
    </row>
    <row r="376" spans="1:7" x14ac:dyDescent="0.3">
      <c r="A376" t="s">
        <v>431</v>
      </c>
      <c r="B376" t="s">
        <v>385</v>
      </c>
      <c r="C376">
        <v>4.5999999999999996</v>
      </c>
      <c r="D376">
        <v>803</v>
      </c>
      <c r="E376">
        <v>9</v>
      </c>
      <c r="F376">
        <v>2009</v>
      </c>
      <c r="G376" t="s">
        <v>9</v>
      </c>
    </row>
    <row r="377" spans="1:7" x14ac:dyDescent="0.3">
      <c r="A377" t="s">
        <v>432</v>
      </c>
      <c r="B377" t="s">
        <v>433</v>
      </c>
      <c r="C377">
        <v>4.7</v>
      </c>
      <c r="D377">
        <v>23308</v>
      </c>
      <c r="E377">
        <v>6</v>
      </c>
      <c r="F377">
        <v>2013</v>
      </c>
      <c r="G377" t="s">
        <v>9</v>
      </c>
    </row>
    <row r="378" spans="1:7" x14ac:dyDescent="0.3">
      <c r="A378" t="s">
        <v>432</v>
      </c>
      <c r="B378" t="s">
        <v>433</v>
      </c>
      <c r="C378">
        <v>4.7</v>
      </c>
      <c r="D378">
        <v>23308</v>
      </c>
      <c r="E378">
        <v>6</v>
      </c>
      <c r="F378">
        <v>2015</v>
      </c>
      <c r="G378" t="s">
        <v>9</v>
      </c>
    </row>
    <row r="379" spans="1:7" x14ac:dyDescent="0.3">
      <c r="A379" t="s">
        <v>432</v>
      </c>
      <c r="B379" t="s">
        <v>433</v>
      </c>
      <c r="C379">
        <v>4.7</v>
      </c>
      <c r="D379">
        <v>23308</v>
      </c>
      <c r="E379">
        <v>6</v>
      </c>
      <c r="F379">
        <v>2016</v>
      </c>
      <c r="G379" t="s">
        <v>9</v>
      </c>
    </row>
    <row r="380" spans="1:7" x14ac:dyDescent="0.3">
      <c r="A380" t="s">
        <v>432</v>
      </c>
      <c r="B380" t="s">
        <v>433</v>
      </c>
      <c r="C380">
        <v>4.7</v>
      </c>
      <c r="D380">
        <v>23308</v>
      </c>
      <c r="E380">
        <v>6</v>
      </c>
      <c r="F380">
        <v>2017</v>
      </c>
      <c r="G380" t="s">
        <v>9</v>
      </c>
    </row>
    <row r="381" spans="1:7" x14ac:dyDescent="0.3">
      <c r="A381" t="s">
        <v>432</v>
      </c>
      <c r="B381" t="s">
        <v>433</v>
      </c>
      <c r="C381">
        <v>4.7</v>
      </c>
      <c r="D381">
        <v>23308</v>
      </c>
      <c r="E381">
        <v>6</v>
      </c>
      <c r="F381">
        <v>2018</v>
      </c>
      <c r="G381" t="s">
        <v>9</v>
      </c>
    </row>
    <row r="382" spans="1:7" x14ac:dyDescent="0.3">
      <c r="A382" t="s">
        <v>432</v>
      </c>
      <c r="B382" t="s">
        <v>433</v>
      </c>
      <c r="C382">
        <v>4.7</v>
      </c>
      <c r="D382">
        <v>23308</v>
      </c>
      <c r="E382">
        <v>6</v>
      </c>
      <c r="F382">
        <v>2019</v>
      </c>
      <c r="G382" t="s">
        <v>9</v>
      </c>
    </row>
    <row r="383" spans="1:7" x14ac:dyDescent="0.3">
      <c r="A383" t="s">
        <v>434</v>
      </c>
      <c r="B383" t="s">
        <v>80</v>
      </c>
      <c r="C383">
        <v>4.8</v>
      </c>
      <c r="D383">
        <v>5836</v>
      </c>
      <c r="E383">
        <v>0</v>
      </c>
      <c r="F383">
        <v>2017</v>
      </c>
      <c r="G383" t="s">
        <v>12</v>
      </c>
    </row>
    <row r="384" spans="1:7" x14ac:dyDescent="0.3">
      <c r="A384" t="s">
        <v>435</v>
      </c>
      <c r="B384" t="s">
        <v>436</v>
      </c>
      <c r="C384">
        <v>4.0999999999999996</v>
      </c>
      <c r="D384">
        <v>79446</v>
      </c>
      <c r="E384">
        <v>18</v>
      </c>
      <c r="F384">
        <v>2015</v>
      </c>
      <c r="G384" t="s">
        <v>12</v>
      </c>
    </row>
    <row r="385" spans="1:7" x14ac:dyDescent="0.3">
      <c r="A385" t="s">
        <v>435</v>
      </c>
      <c r="B385" t="s">
        <v>436</v>
      </c>
      <c r="C385">
        <v>4.0999999999999996</v>
      </c>
      <c r="D385">
        <v>79446</v>
      </c>
      <c r="E385">
        <v>7</v>
      </c>
      <c r="F385">
        <v>2016</v>
      </c>
      <c r="G385" t="s">
        <v>12</v>
      </c>
    </row>
    <row r="386" spans="1:7" x14ac:dyDescent="0.3">
      <c r="A386" t="s">
        <v>437</v>
      </c>
      <c r="B386" t="s">
        <v>438</v>
      </c>
      <c r="C386">
        <v>4.7</v>
      </c>
      <c r="D386">
        <v>7747</v>
      </c>
      <c r="E386">
        <v>14</v>
      </c>
      <c r="F386">
        <v>2010</v>
      </c>
      <c r="G386" t="s">
        <v>12</v>
      </c>
    </row>
    <row r="387" spans="1:7" x14ac:dyDescent="0.3">
      <c r="A387" t="s">
        <v>437</v>
      </c>
      <c r="B387" t="s">
        <v>438</v>
      </c>
      <c r="C387">
        <v>4.7</v>
      </c>
      <c r="D387">
        <v>7747</v>
      </c>
      <c r="E387">
        <v>14</v>
      </c>
      <c r="F387">
        <v>2011</v>
      </c>
      <c r="G387" t="s">
        <v>12</v>
      </c>
    </row>
    <row r="388" spans="1:7" x14ac:dyDescent="0.3">
      <c r="A388" t="s">
        <v>439</v>
      </c>
      <c r="B388" t="s">
        <v>438</v>
      </c>
      <c r="C388">
        <v>4.7</v>
      </c>
      <c r="D388">
        <v>7251</v>
      </c>
      <c r="E388">
        <v>9</v>
      </c>
      <c r="F388">
        <v>2010</v>
      </c>
      <c r="G388" t="s">
        <v>12</v>
      </c>
    </row>
    <row r="389" spans="1:7" x14ac:dyDescent="0.3">
      <c r="A389" t="s">
        <v>440</v>
      </c>
      <c r="B389" t="s">
        <v>438</v>
      </c>
      <c r="C389">
        <v>4.7</v>
      </c>
      <c r="D389">
        <v>7251</v>
      </c>
      <c r="E389">
        <v>16</v>
      </c>
      <c r="F389">
        <v>2009</v>
      </c>
      <c r="G389" t="s">
        <v>12</v>
      </c>
    </row>
    <row r="390" spans="1:7" x14ac:dyDescent="0.3">
      <c r="A390" t="s">
        <v>441</v>
      </c>
      <c r="B390" t="s">
        <v>438</v>
      </c>
      <c r="C390">
        <v>4.4000000000000004</v>
      </c>
      <c r="D390">
        <v>10559</v>
      </c>
      <c r="E390">
        <v>2</v>
      </c>
      <c r="F390">
        <v>2009</v>
      </c>
      <c r="G390" t="s">
        <v>12</v>
      </c>
    </row>
    <row r="391" spans="1:7" x14ac:dyDescent="0.3">
      <c r="A391" t="s">
        <v>441</v>
      </c>
      <c r="B391" t="s">
        <v>438</v>
      </c>
      <c r="C391">
        <v>4.4000000000000004</v>
      </c>
      <c r="D391">
        <v>10559</v>
      </c>
      <c r="E391">
        <v>2</v>
      </c>
      <c r="F391">
        <v>2010</v>
      </c>
      <c r="G391" t="s">
        <v>12</v>
      </c>
    </row>
    <row r="392" spans="1:7" x14ac:dyDescent="0.3">
      <c r="A392" t="s">
        <v>442</v>
      </c>
      <c r="B392" t="s">
        <v>443</v>
      </c>
      <c r="C392">
        <v>4.8</v>
      </c>
      <c r="D392">
        <v>5249</v>
      </c>
      <c r="E392">
        <v>5</v>
      </c>
      <c r="F392">
        <v>2016</v>
      </c>
      <c r="G392" t="s">
        <v>12</v>
      </c>
    </row>
    <row r="393" spans="1:7" x14ac:dyDescent="0.3">
      <c r="A393" t="s">
        <v>442</v>
      </c>
      <c r="B393" t="s">
        <v>443</v>
      </c>
      <c r="C393">
        <v>4.8</v>
      </c>
      <c r="D393">
        <v>5249</v>
      </c>
      <c r="E393">
        <v>5</v>
      </c>
      <c r="F393">
        <v>2017</v>
      </c>
      <c r="G393" t="s">
        <v>12</v>
      </c>
    </row>
    <row r="394" spans="1:7" x14ac:dyDescent="0.3">
      <c r="A394" t="s">
        <v>444</v>
      </c>
      <c r="B394" t="s">
        <v>445</v>
      </c>
      <c r="C394">
        <v>3.9</v>
      </c>
      <c r="D394">
        <v>33844</v>
      </c>
      <c r="E394">
        <v>20</v>
      </c>
      <c r="F394">
        <v>2013</v>
      </c>
      <c r="G394" t="s">
        <v>12</v>
      </c>
    </row>
    <row r="395" spans="1:7" x14ac:dyDescent="0.3">
      <c r="A395" t="s">
        <v>444</v>
      </c>
      <c r="B395" t="s">
        <v>445</v>
      </c>
      <c r="C395">
        <v>3.9</v>
      </c>
      <c r="D395">
        <v>33844</v>
      </c>
      <c r="E395">
        <v>20</v>
      </c>
      <c r="F395">
        <v>2014</v>
      </c>
      <c r="G395" t="s">
        <v>12</v>
      </c>
    </row>
    <row r="396" spans="1:7" x14ac:dyDescent="0.3">
      <c r="A396" t="s">
        <v>446</v>
      </c>
      <c r="B396" t="s">
        <v>447</v>
      </c>
      <c r="C396">
        <v>4.4000000000000004</v>
      </c>
      <c r="D396">
        <v>11616</v>
      </c>
      <c r="E396">
        <v>7</v>
      </c>
      <c r="F396">
        <v>2012</v>
      </c>
      <c r="G396" t="s">
        <v>12</v>
      </c>
    </row>
    <row r="397" spans="1:7" x14ac:dyDescent="0.3">
      <c r="A397" t="s">
        <v>446</v>
      </c>
      <c r="B397" t="s">
        <v>447</v>
      </c>
      <c r="C397">
        <v>4.4000000000000004</v>
      </c>
      <c r="D397">
        <v>11616</v>
      </c>
      <c r="E397">
        <v>7</v>
      </c>
      <c r="F397">
        <v>2013</v>
      </c>
      <c r="G397" t="s">
        <v>12</v>
      </c>
    </row>
    <row r="398" spans="1:7" x14ac:dyDescent="0.3">
      <c r="A398" t="s">
        <v>446</v>
      </c>
      <c r="B398" t="s">
        <v>447</v>
      </c>
      <c r="C398">
        <v>4.4000000000000004</v>
      </c>
      <c r="D398">
        <v>11616</v>
      </c>
      <c r="E398">
        <v>7</v>
      </c>
      <c r="F398">
        <v>2014</v>
      </c>
      <c r="G398" t="s">
        <v>12</v>
      </c>
    </row>
    <row r="399" spans="1:7" x14ac:dyDescent="0.3">
      <c r="A399" t="s">
        <v>448</v>
      </c>
      <c r="B399" t="s">
        <v>377</v>
      </c>
      <c r="C399">
        <v>4.5</v>
      </c>
      <c r="D399">
        <v>13609</v>
      </c>
      <c r="E399">
        <v>14</v>
      </c>
      <c r="F399">
        <v>2019</v>
      </c>
      <c r="G399" t="s">
        <v>12</v>
      </c>
    </row>
    <row r="400" spans="1:7" x14ac:dyDescent="0.3">
      <c r="A400" t="s">
        <v>449</v>
      </c>
      <c r="B400" t="s">
        <v>450</v>
      </c>
      <c r="C400">
        <v>4.7</v>
      </c>
      <c r="D400">
        <v>8587</v>
      </c>
      <c r="E400">
        <v>10</v>
      </c>
      <c r="F400">
        <v>2009</v>
      </c>
      <c r="G400" t="s">
        <v>12</v>
      </c>
    </row>
    <row r="401" spans="1:7" x14ac:dyDescent="0.3">
      <c r="A401" t="s">
        <v>451</v>
      </c>
      <c r="B401" t="s">
        <v>452</v>
      </c>
      <c r="C401">
        <v>4.3</v>
      </c>
      <c r="D401">
        <v>29442</v>
      </c>
      <c r="E401">
        <v>7</v>
      </c>
      <c r="F401">
        <v>2017</v>
      </c>
      <c r="G401" t="s">
        <v>12</v>
      </c>
    </row>
    <row r="402" spans="1:7" x14ac:dyDescent="0.3">
      <c r="A402" t="s">
        <v>453</v>
      </c>
      <c r="B402" t="s">
        <v>454</v>
      </c>
      <c r="C402">
        <v>4.5999999999999996</v>
      </c>
      <c r="D402">
        <v>11098</v>
      </c>
      <c r="E402">
        <v>13</v>
      </c>
      <c r="F402">
        <v>2012</v>
      </c>
      <c r="G402" t="s">
        <v>12</v>
      </c>
    </row>
    <row r="403" spans="1:7" x14ac:dyDescent="0.3">
      <c r="A403" t="s">
        <v>455</v>
      </c>
      <c r="B403" t="s">
        <v>456</v>
      </c>
      <c r="C403">
        <v>4.8</v>
      </c>
      <c r="D403">
        <v>9947</v>
      </c>
      <c r="E403">
        <v>11</v>
      </c>
      <c r="F403">
        <v>2018</v>
      </c>
      <c r="G403" t="s">
        <v>12</v>
      </c>
    </row>
    <row r="404" spans="1:7" x14ac:dyDescent="0.3">
      <c r="A404" t="s">
        <v>457</v>
      </c>
      <c r="B404" t="s">
        <v>458</v>
      </c>
      <c r="C404">
        <v>4.8</v>
      </c>
      <c r="D404">
        <v>13871</v>
      </c>
      <c r="E404">
        <v>6</v>
      </c>
      <c r="F404">
        <v>2009</v>
      </c>
      <c r="G404" t="s">
        <v>12</v>
      </c>
    </row>
    <row r="405" spans="1:7" x14ac:dyDescent="0.3">
      <c r="A405" t="s">
        <v>457</v>
      </c>
      <c r="B405" t="s">
        <v>458</v>
      </c>
      <c r="C405">
        <v>4.8</v>
      </c>
      <c r="D405">
        <v>13871</v>
      </c>
      <c r="E405">
        <v>6</v>
      </c>
      <c r="F405">
        <v>2010</v>
      </c>
      <c r="G405" t="s">
        <v>12</v>
      </c>
    </row>
    <row r="406" spans="1:7" x14ac:dyDescent="0.3">
      <c r="A406" t="s">
        <v>457</v>
      </c>
      <c r="B406" t="s">
        <v>458</v>
      </c>
      <c r="C406">
        <v>4.8</v>
      </c>
      <c r="D406">
        <v>13871</v>
      </c>
      <c r="E406">
        <v>8</v>
      </c>
      <c r="F406">
        <v>2011</v>
      </c>
      <c r="G406" t="s">
        <v>12</v>
      </c>
    </row>
    <row r="407" spans="1:7" x14ac:dyDescent="0.3">
      <c r="A407" t="s">
        <v>457</v>
      </c>
      <c r="B407" t="s">
        <v>458</v>
      </c>
      <c r="C407">
        <v>4.8</v>
      </c>
      <c r="D407">
        <v>13871</v>
      </c>
      <c r="E407">
        <v>7</v>
      </c>
      <c r="F407">
        <v>2011</v>
      </c>
      <c r="G407" t="s">
        <v>12</v>
      </c>
    </row>
    <row r="408" spans="1:7" x14ac:dyDescent="0.3">
      <c r="A408" t="s">
        <v>459</v>
      </c>
      <c r="B408" t="s">
        <v>333</v>
      </c>
      <c r="C408">
        <v>4.8</v>
      </c>
      <c r="D408">
        <v>6982</v>
      </c>
      <c r="E408">
        <v>14</v>
      </c>
      <c r="F408">
        <v>2013</v>
      </c>
      <c r="G408" t="s">
        <v>12</v>
      </c>
    </row>
    <row r="409" spans="1:7" x14ac:dyDescent="0.3">
      <c r="A409" t="s">
        <v>460</v>
      </c>
      <c r="B409" t="s">
        <v>88</v>
      </c>
      <c r="C409">
        <v>4.7</v>
      </c>
      <c r="D409">
        <v>32122</v>
      </c>
      <c r="E409">
        <v>14</v>
      </c>
      <c r="F409">
        <v>2010</v>
      </c>
      <c r="G409" t="s">
        <v>12</v>
      </c>
    </row>
    <row r="410" spans="1:7" x14ac:dyDescent="0.3">
      <c r="A410" t="s">
        <v>461</v>
      </c>
      <c r="B410" t="s">
        <v>88</v>
      </c>
      <c r="C410">
        <v>4.7</v>
      </c>
      <c r="D410">
        <v>32122</v>
      </c>
      <c r="E410">
        <v>8</v>
      </c>
      <c r="F410">
        <v>2011</v>
      </c>
      <c r="G410" t="s">
        <v>12</v>
      </c>
    </row>
    <row r="411" spans="1:7" x14ac:dyDescent="0.3">
      <c r="A411" t="s">
        <v>461</v>
      </c>
      <c r="B411" t="s">
        <v>88</v>
      </c>
      <c r="C411">
        <v>4.7</v>
      </c>
      <c r="D411">
        <v>32122</v>
      </c>
      <c r="E411">
        <v>8</v>
      </c>
      <c r="F411">
        <v>2012</v>
      </c>
      <c r="G411" t="s">
        <v>12</v>
      </c>
    </row>
    <row r="412" spans="1:7" x14ac:dyDescent="0.3">
      <c r="A412" t="s">
        <v>462</v>
      </c>
      <c r="B412" t="s">
        <v>88</v>
      </c>
      <c r="C412">
        <v>4.8</v>
      </c>
      <c r="D412">
        <v>16949</v>
      </c>
      <c r="E412">
        <v>30</v>
      </c>
      <c r="F412">
        <v>2011</v>
      </c>
      <c r="G412" t="s">
        <v>12</v>
      </c>
    </row>
    <row r="413" spans="1:7" x14ac:dyDescent="0.3">
      <c r="A413" t="s">
        <v>462</v>
      </c>
      <c r="B413" t="s">
        <v>88</v>
      </c>
      <c r="C413">
        <v>4.8</v>
      </c>
      <c r="D413">
        <v>16949</v>
      </c>
      <c r="E413">
        <v>30</v>
      </c>
      <c r="F413">
        <v>2012</v>
      </c>
      <c r="G413" t="s">
        <v>12</v>
      </c>
    </row>
    <row r="414" spans="1:7" x14ac:dyDescent="0.3">
      <c r="A414" t="s">
        <v>463</v>
      </c>
      <c r="B414" t="s">
        <v>464</v>
      </c>
      <c r="C414">
        <v>4.7</v>
      </c>
      <c r="D414">
        <v>9289</v>
      </c>
      <c r="E414">
        <v>13</v>
      </c>
      <c r="F414">
        <v>2010</v>
      </c>
      <c r="G414" t="s">
        <v>9</v>
      </c>
    </row>
    <row r="415" spans="1:7" x14ac:dyDescent="0.3">
      <c r="A415" t="s">
        <v>463</v>
      </c>
      <c r="B415" t="s">
        <v>464</v>
      </c>
      <c r="C415">
        <v>4.7</v>
      </c>
      <c r="D415">
        <v>9289</v>
      </c>
      <c r="E415">
        <v>9</v>
      </c>
      <c r="F415">
        <v>2011</v>
      </c>
      <c r="G415" t="s">
        <v>9</v>
      </c>
    </row>
    <row r="416" spans="1:7" x14ac:dyDescent="0.3">
      <c r="A416" t="s">
        <v>463</v>
      </c>
      <c r="B416" t="s">
        <v>464</v>
      </c>
      <c r="C416">
        <v>4.7</v>
      </c>
      <c r="D416">
        <v>9289</v>
      </c>
      <c r="E416">
        <v>9</v>
      </c>
      <c r="F416">
        <v>2012</v>
      </c>
      <c r="G416" t="s">
        <v>9</v>
      </c>
    </row>
    <row r="417" spans="1:7" x14ac:dyDescent="0.3">
      <c r="A417" t="s">
        <v>465</v>
      </c>
      <c r="B417" t="s">
        <v>466</v>
      </c>
      <c r="C417">
        <v>4.3</v>
      </c>
      <c r="D417">
        <v>7368</v>
      </c>
      <c r="E417">
        <v>7</v>
      </c>
      <c r="F417">
        <v>2017</v>
      </c>
      <c r="G417" t="s">
        <v>9</v>
      </c>
    </row>
    <row r="418" spans="1:7" x14ac:dyDescent="0.3">
      <c r="A418" t="s">
        <v>465</v>
      </c>
      <c r="B418" t="s">
        <v>466</v>
      </c>
      <c r="C418">
        <v>4.3</v>
      </c>
      <c r="D418">
        <v>7368</v>
      </c>
      <c r="E418">
        <v>7</v>
      </c>
      <c r="F418">
        <v>2018</v>
      </c>
      <c r="G418" t="s">
        <v>9</v>
      </c>
    </row>
    <row r="419" spans="1:7" x14ac:dyDescent="0.3">
      <c r="A419" t="s">
        <v>467</v>
      </c>
      <c r="B419" t="s">
        <v>468</v>
      </c>
      <c r="C419">
        <v>4.7</v>
      </c>
      <c r="D419">
        <v>4028</v>
      </c>
      <c r="E419">
        <v>9</v>
      </c>
      <c r="F419">
        <v>2009</v>
      </c>
      <c r="G419" t="s">
        <v>9</v>
      </c>
    </row>
    <row r="420" spans="1:7" x14ac:dyDescent="0.3">
      <c r="A420" t="s">
        <v>469</v>
      </c>
      <c r="B420" t="s">
        <v>333</v>
      </c>
      <c r="C420">
        <v>4.8</v>
      </c>
      <c r="D420">
        <v>4628</v>
      </c>
      <c r="E420">
        <v>7</v>
      </c>
      <c r="F420">
        <v>2009</v>
      </c>
      <c r="G420" t="s">
        <v>12</v>
      </c>
    </row>
    <row r="421" spans="1:7" x14ac:dyDescent="0.3">
      <c r="A421" t="s">
        <v>469</v>
      </c>
      <c r="B421" t="s">
        <v>333</v>
      </c>
      <c r="C421">
        <v>4.8</v>
      </c>
      <c r="D421">
        <v>4628</v>
      </c>
      <c r="E421">
        <v>7</v>
      </c>
      <c r="F421">
        <v>2010</v>
      </c>
      <c r="G421" t="s">
        <v>12</v>
      </c>
    </row>
    <row r="422" spans="1:7" x14ac:dyDescent="0.3">
      <c r="A422" t="s">
        <v>470</v>
      </c>
      <c r="B422" t="s">
        <v>471</v>
      </c>
      <c r="C422">
        <v>4.9000000000000004</v>
      </c>
      <c r="D422">
        <v>5396</v>
      </c>
      <c r="E422">
        <v>20</v>
      </c>
      <c r="F422">
        <v>2013</v>
      </c>
      <c r="G422" t="s">
        <v>12</v>
      </c>
    </row>
    <row r="423" spans="1:7" x14ac:dyDescent="0.3">
      <c r="A423" t="s">
        <v>472</v>
      </c>
      <c r="B423" t="s">
        <v>473</v>
      </c>
      <c r="C423">
        <v>4.4000000000000004</v>
      </c>
      <c r="D423">
        <v>4247</v>
      </c>
      <c r="E423">
        <v>13</v>
      </c>
      <c r="F423">
        <v>2011</v>
      </c>
      <c r="G423" t="s">
        <v>9</v>
      </c>
    </row>
    <row r="424" spans="1:7" x14ac:dyDescent="0.3">
      <c r="A424" t="s">
        <v>472</v>
      </c>
      <c r="B424" t="s">
        <v>473</v>
      </c>
      <c r="C424">
        <v>4.4000000000000004</v>
      </c>
      <c r="D424">
        <v>4247</v>
      </c>
      <c r="E424">
        <v>13</v>
      </c>
      <c r="F424">
        <v>2012</v>
      </c>
      <c r="G424" t="s">
        <v>9</v>
      </c>
    </row>
    <row r="425" spans="1:7" x14ac:dyDescent="0.3">
      <c r="A425" t="s">
        <v>474</v>
      </c>
      <c r="B425" t="s">
        <v>475</v>
      </c>
      <c r="C425">
        <v>4.5</v>
      </c>
      <c r="D425">
        <v>22641</v>
      </c>
      <c r="E425">
        <v>11</v>
      </c>
      <c r="F425">
        <v>2015</v>
      </c>
      <c r="G425" t="s">
        <v>9</v>
      </c>
    </row>
    <row r="426" spans="1:7" x14ac:dyDescent="0.3">
      <c r="A426" t="s">
        <v>474</v>
      </c>
      <c r="B426" t="s">
        <v>475</v>
      </c>
      <c r="C426">
        <v>4.5</v>
      </c>
      <c r="D426">
        <v>22641</v>
      </c>
      <c r="E426">
        <v>11</v>
      </c>
      <c r="F426">
        <v>2016</v>
      </c>
      <c r="G426" t="s">
        <v>9</v>
      </c>
    </row>
    <row r="427" spans="1:7" x14ac:dyDescent="0.3">
      <c r="A427" t="s">
        <v>474</v>
      </c>
      <c r="B427" t="s">
        <v>475</v>
      </c>
      <c r="C427">
        <v>4.5</v>
      </c>
      <c r="D427">
        <v>22641</v>
      </c>
      <c r="E427">
        <v>11</v>
      </c>
      <c r="F427">
        <v>2017</v>
      </c>
      <c r="G427" t="s">
        <v>9</v>
      </c>
    </row>
    <row r="428" spans="1:7" x14ac:dyDescent="0.3">
      <c r="A428" t="s">
        <v>474</v>
      </c>
      <c r="B428" t="s">
        <v>475</v>
      </c>
      <c r="C428">
        <v>4.5</v>
      </c>
      <c r="D428">
        <v>22641</v>
      </c>
      <c r="E428">
        <v>11</v>
      </c>
      <c r="F428">
        <v>2019</v>
      </c>
      <c r="G428" t="s">
        <v>9</v>
      </c>
    </row>
    <row r="429" spans="1:7" x14ac:dyDescent="0.3">
      <c r="A429" t="s">
        <v>476</v>
      </c>
      <c r="B429" t="s">
        <v>377</v>
      </c>
      <c r="C429">
        <v>4.4000000000000004</v>
      </c>
      <c r="D429">
        <v>6222</v>
      </c>
      <c r="E429">
        <v>18</v>
      </c>
      <c r="F429">
        <v>2011</v>
      </c>
      <c r="G429" t="s">
        <v>12</v>
      </c>
    </row>
    <row r="430" spans="1:7" x14ac:dyDescent="0.3">
      <c r="A430" t="s">
        <v>477</v>
      </c>
      <c r="B430" t="s">
        <v>333</v>
      </c>
      <c r="C430">
        <v>4.8</v>
      </c>
      <c r="D430">
        <v>4506</v>
      </c>
      <c r="E430">
        <v>14</v>
      </c>
      <c r="F430">
        <v>2010</v>
      </c>
      <c r="G430" t="s">
        <v>12</v>
      </c>
    </row>
    <row r="431" spans="1:7" x14ac:dyDescent="0.3">
      <c r="A431" t="s">
        <v>478</v>
      </c>
      <c r="B431" t="s">
        <v>245</v>
      </c>
      <c r="C431">
        <v>4.2</v>
      </c>
      <c r="D431">
        <v>8747</v>
      </c>
      <c r="E431">
        <v>19</v>
      </c>
      <c r="F431">
        <v>2009</v>
      </c>
      <c r="G431" t="s">
        <v>12</v>
      </c>
    </row>
    <row r="432" spans="1:7" x14ac:dyDescent="0.3">
      <c r="A432" t="s">
        <v>479</v>
      </c>
      <c r="B432" t="s">
        <v>480</v>
      </c>
      <c r="C432">
        <v>4.8</v>
      </c>
      <c r="D432">
        <v>1655</v>
      </c>
      <c r="E432">
        <v>13</v>
      </c>
      <c r="F432">
        <v>2009</v>
      </c>
      <c r="G432" t="s">
        <v>9</v>
      </c>
    </row>
    <row r="433" spans="1:7" x14ac:dyDescent="0.3">
      <c r="A433" t="s">
        <v>481</v>
      </c>
      <c r="B433" t="s">
        <v>482</v>
      </c>
      <c r="C433">
        <v>4.9000000000000004</v>
      </c>
      <c r="D433">
        <v>7861</v>
      </c>
      <c r="E433">
        <v>5</v>
      </c>
      <c r="F433">
        <v>2016</v>
      </c>
      <c r="G433" t="s">
        <v>9</v>
      </c>
    </row>
    <row r="434" spans="1:7" x14ac:dyDescent="0.3">
      <c r="A434" t="s">
        <v>483</v>
      </c>
      <c r="B434" t="s">
        <v>333</v>
      </c>
      <c r="C434">
        <v>4.8</v>
      </c>
      <c r="D434">
        <v>6247</v>
      </c>
      <c r="E434">
        <v>10</v>
      </c>
      <c r="F434">
        <v>2012</v>
      </c>
      <c r="G434" t="s">
        <v>12</v>
      </c>
    </row>
    <row r="435" spans="1:7" x14ac:dyDescent="0.3">
      <c r="A435" t="s">
        <v>484</v>
      </c>
      <c r="B435" t="s">
        <v>485</v>
      </c>
      <c r="C435">
        <v>4.7</v>
      </c>
      <c r="D435">
        <v>39459</v>
      </c>
      <c r="E435">
        <v>9</v>
      </c>
      <c r="F435">
        <v>2015</v>
      </c>
      <c r="G435" t="s">
        <v>12</v>
      </c>
    </row>
    <row r="436" spans="1:7" x14ac:dyDescent="0.3">
      <c r="A436" t="s">
        <v>486</v>
      </c>
      <c r="B436" t="s">
        <v>487</v>
      </c>
      <c r="C436">
        <v>4.5</v>
      </c>
      <c r="D436">
        <v>10101</v>
      </c>
      <c r="E436">
        <v>8</v>
      </c>
      <c r="F436">
        <v>2014</v>
      </c>
      <c r="G436" t="s">
        <v>12</v>
      </c>
    </row>
    <row r="437" spans="1:7" x14ac:dyDescent="0.3">
      <c r="A437" t="s">
        <v>488</v>
      </c>
      <c r="B437" t="s">
        <v>80</v>
      </c>
      <c r="C437">
        <v>4.8</v>
      </c>
      <c r="D437">
        <v>5898</v>
      </c>
      <c r="E437">
        <v>8</v>
      </c>
      <c r="F437">
        <v>2018</v>
      </c>
      <c r="G437" t="s">
        <v>12</v>
      </c>
    </row>
    <row r="438" spans="1:7" x14ac:dyDescent="0.3">
      <c r="A438" t="s">
        <v>489</v>
      </c>
      <c r="B438" t="s">
        <v>490</v>
      </c>
      <c r="C438">
        <v>4.5999999999999996</v>
      </c>
      <c r="D438">
        <v>2744</v>
      </c>
      <c r="E438">
        <v>12</v>
      </c>
      <c r="F438">
        <v>2019</v>
      </c>
      <c r="G438" t="s">
        <v>9</v>
      </c>
    </row>
    <row r="439" spans="1:7" x14ac:dyDescent="0.3">
      <c r="A439" t="s">
        <v>491</v>
      </c>
      <c r="B439" t="s">
        <v>492</v>
      </c>
      <c r="C439">
        <v>4.8</v>
      </c>
      <c r="D439">
        <v>49288</v>
      </c>
      <c r="E439">
        <v>11</v>
      </c>
      <c r="F439">
        <v>2015</v>
      </c>
      <c r="G439" t="s">
        <v>12</v>
      </c>
    </row>
    <row r="440" spans="1:7" x14ac:dyDescent="0.3">
      <c r="A440" t="s">
        <v>491</v>
      </c>
      <c r="B440" t="s">
        <v>492</v>
      </c>
      <c r="C440">
        <v>4.8</v>
      </c>
      <c r="D440">
        <v>49288</v>
      </c>
      <c r="E440">
        <v>11</v>
      </c>
      <c r="F440">
        <v>2016</v>
      </c>
      <c r="G440" t="s">
        <v>12</v>
      </c>
    </row>
    <row r="441" spans="1:7" x14ac:dyDescent="0.3">
      <c r="A441" t="s">
        <v>493</v>
      </c>
      <c r="B441" t="s">
        <v>494</v>
      </c>
      <c r="C441">
        <v>4.4000000000000004</v>
      </c>
      <c r="D441">
        <v>1201</v>
      </c>
      <c r="E441">
        <v>40</v>
      </c>
      <c r="F441">
        <v>2010</v>
      </c>
      <c r="G441" t="s">
        <v>9</v>
      </c>
    </row>
    <row r="442" spans="1:7" x14ac:dyDescent="0.3">
      <c r="A442" t="s">
        <v>493</v>
      </c>
      <c r="B442" t="s">
        <v>494</v>
      </c>
      <c r="C442">
        <v>4.4000000000000004</v>
      </c>
      <c r="D442">
        <v>1201</v>
      </c>
      <c r="E442">
        <v>40</v>
      </c>
      <c r="F442">
        <v>2011</v>
      </c>
      <c r="G442" t="s">
        <v>9</v>
      </c>
    </row>
    <row r="443" spans="1:7" x14ac:dyDescent="0.3">
      <c r="A443" t="s">
        <v>493</v>
      </c>
      <c r="B443" t="s">
        <v>494</v>
      </c>
      <c r="C443">
        <v>4.4000000000000004</v>
      </c>
      <c r="D443">
        <v>1201</v>
      </c>
      <c r="E443">
        <v>40</v>
      </c>
      <c r="F443">
        <v>2012</v>
      </c>
      <c r="G443" t="s">
        <v>9</v>
      </c>
    </row>
    <row r="444" spans="1:7" x14ac:dyDescent="0.3">
      <c r="A444" t="s">
        <v>493</v>
      </c>
      <c r="B444" t="s">
        <v>494</v>
      </c>
      <c r="C444">
        <v>4.4000000000000004</v>
      </c>
      <c r="D444">
        <v>1201</v>
      </c>
      <c r="E444">
        <v>40</v>
      </c>
      <c r="F444">
        <v>2013</v>
      </c>
      <c r="G444" t="s">
        <v>9</v>
      </c>
    </row>
    <row r="445" spans="1:7" x14ac:dyDescent="0.3">
      <c r="A445" t="s">
        <v>493</v>
      </c>
      <c r="B445" t="s">
        <v>494</v>
      </c>
      <c r="C445">
        <v>4.4000000000000004</v>
      </c>
      <c r="D445">
        <v>1201</v>
      </c>
      <c r="E445">
        <v>40</v>
      </c>
      <c r="F445">
        <v>2014</v>
      </c>
      <c r="G445" t="s">
        <v>9</v>
      </c>
    </row>
    <row r="446" spans="1:7" x14ac:dyDescent="0.3">
      <c r="A446" t="s">
        <v>495</v>
      </c>
      <c r="B446" t="s">
        <v>494</v>
      </c>
      <c r="C446">
        <v>4.3</v>
      </c>
      <c r="D446">
        <v>807</v>
      </c>
      <c r="E446">
        <v>36</v>
      </c>
      <c r="F446">
        <v>2016</v>
      </c>
      <c r="G446" t="s">
        <v>9</v>
      </c>
    </row>
    <row r="447" spans="1:7" x14ac:dyDescent="0.3">
      <c r="A447" t="s">
        <v>496</v>
      </c>
      <c r="B447" t="s">
        <v>497</v>
      </c>
      <c r="C447">
        <v>4.3</v>
      </c>
      <c r="D447">
        <v>3759</v>
      </c>
      <c r="E447">
        <v>16</v>
      </c>
      <c r="F447">
        <v>2011</v>
      </c>
      <c r="G447" t="s">
        <v>12</v>
      </c>
    </row>
    <row r="448" spans="1:7" x14ac:dyDescent="0.3">
      <c r="A448" t="s">
        <v>498</v>
      </c>
      <c r="B448" t="s">
        <v>499</v>
      </c>
      <c r="C448">
        <v>4.8</v>
      </c>
      <c r="D448">
        <v>2663</v>
      </c>
      <c r="E448">
        <v>17</v>
      </c>
      <c r="F448">
        <v>2013</v>
      </c>
      <c r="G448" t="s">
        <v>9</v>
      </c>
    </row>
    <row r="449" spans="1:7" x14ac:dyDescent="0.3">
      <c r="A449" t="s">
        <v>500</v>
      </c>
      <c r="B449" t="s">
        <v>499</v>
      </c>
      <c r="C449">
        <v>4.8</v>
      </c>
      <c r="D449">
        <v>3428</v>
      </c>
      <c r="E449">
        <v>14</v>
      </c>
      <c r="F449">
        <v>2015</v>
      </c>
      <c r="G449" t="s">
        <v>9</v>
      </c>
    </row>
    <row r="450" spans="1:7" x14ac:dyDescent="0.3">
      <c r="A450" t="s">
        <v>501</v>
      </c>
      <c r="B450" t="s">
        <v>499</v>
      </c>
      <c r="C450">
        <v>4.8</v>
      </c>
      <c r="D450">
        <v>2876</v>
      </c>
      <c r="E450">
        <v>21</v>
      </c>
      <c r="F450">
        <v>2012</v>
      </c>
      <c r="G450" t="s">
        <v>9</v>
      </c>
    </row>
    <row r="451" spans="1:7" x14ac:dyDescent="0.3">
      <c r="A451" t="s">
        <v>502</v>
      </c>
      <c r="B451" t="s">
        <v>503</v>
      </c>
      <c r="C451">
        <v>4.5</v>
      </c>
      <c r="D451">
        <v>3601</v>
      </c>
      <c r="E451">
        <v>18</v>
      </c>
      <c r="F451">
        <v>2018</v>
      </c>
      <c r="G451" t="s">
        <v>9</v>
      </c>
    </row>
    <row r="452" spans="1:7" x14ac:dyDescent="0.3">
      <c r="A452" t="s">
        <v>504</v>
      </c>
      <c r="B452" t="s">
        <v>503</v>
      </c>
      <c r="C452">
        <v>4.4000000000000004</v>
      </c>
      <c r="D452">
        <v>7058</v>
      </c>
      <c r="E452">
        <v>17</v>
      </c>
      <c r="F452">
        <v>2018</v>
      </c>
      <c r="G452" t="s">
        <v>9</v>
      </c>
    </row>
    <row r="453" spans="1:7" x14ac:dyDescent="0.3">
      <c r="A453" t="s">
        <v>505</v>
      </c>
      <c r="B453" t="s">
        <v>506</v>
      </c>
      <c r="C453">
        <v>4.8</v>
      </c>
      <c r="D453">
        <v>9784</v>
      </c>
      <c r="E453">
        <v>5</v>
      </c>
      <c r="F453">
        <v>2017</v>
      </c>
      <c r="G453" t="s">
        <v>12</v>
      </c>
    </row>
    <row r="454" spans="1:7" x14ac:dyDescent="0.3">
      <c r="A454" t="s">
        <v>505</v>
      </c>
      <c r="B454" t="s">
        <v>506</v>
      </c>
      <c r="C454">
        <v>4.8</v>
      </c>
      <c r="D454">
        <v>9784</v>
      </c>
      <c r="E454">
        <v>5</v>
      </c>
      <c r="F454">
        <v>2018</v>
      </c>
      <c r="G454" t="s">
        <v>12</v>
      </c>
    </row>
    <row r="455" spans="1:7" x14ac:dyDescent="0.3">
      <c r="A455" t="s">
        <v>507</v>
      </c>
      <c r="B455" t="s">
        <v>508</v>
      </c>
      <c r="C455">
        <v>4.5999999999999996</v>
      </c>
      <c r="D455">
        <v>10795</v>
      </c>
      <c r="E455">
        <v>21</v>
      </c>
      <c r="F455">
        <v>2012</v>
      </c>
      <c r="G455" t="s">
        <v>9</v>
      </c>
    </row>
    <row r="456" spans="1:7" x14ac:dyDescent="0.3">
      <c r="A456" t="s">
        <v>509</v>
      </c>
      <c r="B456" t="s">
        <v>237</v>
      </c>
      <c r="C456">
        <v>4.3</v>
      </c>
      <c r="D456">
        <v>10191</v>
      </c>
      <c r="E456">
        <v>18</v>
      </c>
      <c r="F456">
        <v>2018</v>
      </c>
      <c r="G456" t="s">
        <v>12</v>
      </c>
    </row>
    <row r="457" spans="1:7" x14ac:dyDescent="0.3">
      <c r="A457" t="s">
        <v>510</v>
      </c>
      <c r="B457" t="s">
        <v>377</v>
      </c>
      <c r="C457">
        <v>4.3</v>
      </c>
      <c r="D457">
        <v>14493</v>
      </c>
      <c r="E457">
        <v>18</v>
      </c>
      <c r="F457">
        <v>2012</v>
      </c>
      <c r="G457" t="s">
        <v>12</v>
      </c>
    </row>
    <row r="458" spans="1:7" x14ac:dyDescent="0.3">
      <c r="A458" t="s">
        <v>511</v>
      </c>
      <c r="B458" t="s">
        <v>333</v>
      </c>
      <c r="C458">
        <v>4.5999999999999996</v>
      </c>
      <c r="D458">
        <v>2186</v>
      </c>
      <c r="E458">
        <v>12</v>
      </c>
      <c r="F458">
        <v>2010</v>
      </c>
      <c r="G458" t="s">
        <v>12</v>
      </c>
    </row>
    <row r="459" spans="1:7" x14ac:dyDescent="0.3">
      <c r="A459" t="s">
        <v>512</v>
      </c>
      <c r="B459" t="s">
        <v>513</v>
      </c>
      <c r="C459">
        <v>4.5999999999999996</v>
      </c>
      <c r="D459">
        <v>1204</v>
      </c>
      <c r="E459">
        <v>14</v>
      </c>
      <c r="F459">
        <v>2010</v>
      </c>
      <c r="G459" t="s">
        <v>9</v>
      </c>
    </row>
    <row r="460" spans="1:7" x14ac:dyDescent="0.3">
      <c r="A460" t="s">
        <v>514</v>
      </c>
      <c r="B460" t="s">
        <v>333</v>
      </c>
      <c r="C460">
        <v>4.8</v>
      </c>
      <c r="D460">
        <v>2091</v>
      </c>
      <c r="E460">
        <v>12</v>
      </c>
      <c r="F460">
        <v>2012</v>
      </c>
      <c r="G460" t="s">
        <v>12</v>
      </c>
    </row>
    <row r="461" spans="1:7" x14ac:dyDescent="0.3">
      <c r="A461" t="s">
        <v>515</v>
      </c>
      <c r="B461" t="s">
        <v>516</v>
      </c>
      <c r="C461">
        <v>4.5999999999999996</v>
      </c>
      <c r="D461">
        <v>19720</v>
      </c>
      <c r="E461">
        <v>8</v>
      </c>
      <c r="F461">
        <v>2009</v>
      </c>
      <c r="G461" t="s">
        <v>12</v>
      </c>
    </row>
    <row r="462" spans="1:7" x14ac:dyDescent="0.3">
      <c r="A462" t="s">
        <v>515</v>
      </c>
      <c r="B462" t="s">
        <v>516</v>
      </c>
      <c r="C462">
        <v>4.5999999999999996</v>
      </c>
      <c r="D462">
        <v>19720</v>
      </c>
      <c r="E462">
        <v>8</v>
      </c>
      <c r="F462">
        <v>2017</v>
      </c>
      <c r="G462" t="s">
        <v>12</v>
      </c>
    </row>
    <row r="463" spans="1:7" x14ac:dyDescent="0.3">
      <c r="A463" t="s">
        <v>517</v>
      </c>
      <c r="B463" t="s">
        <v>75</v>
      </c>
      <c r="C463">
        <v>4.5999999999999996</v>
      </c>
      <c r="D463">
        <v>2122</v>
      </c>
      <c r="E463">
        <v>0</v>
      </c>
      <c r="F463">
        <v>2010</v>
      </c>
      <c r="G463" t="s">
        <v>12</v>
      </c>
    </row>
    <row r="464" spans="1:7" x14ac:dyDescent="0.3">
      <c r="A464" t="s">
        <v>518</v>
      </c>
      <c r="B464" t="s">
        <v>519</v>
      </c>
      <c r="C464">
        <v>4.5</v>
      </c>
      <c r="D464">
        <v>27536</v>
      </c>
      <c r="E464">
        <v>14</v>
      </c>
      <c r="F464">
        <v>2019</v>
      </c>
      <c r="G464" t="s">
        <v>12</v>
      </c>
    </row>
    <row r="465" spans="1:7" x14ac:dyDescent="0.3">
      <c r="A465" t="s">
        <v>520</v>
      </c>
      <c r="B465" t="s">
        <v>333</v>
      </c>
      <c r="C465">
        <v>4.8</v>
      </c>
      <c r="D465">
        <v>4290</v>
      </c>
      <c r="E465">
        <v>10</v>
      </c>
      <c r="F465">
        <v>2011</v>
      </c>
      <c r="G465" t="s">
        <v>12</v>
      </c>
    </row>
    <row r="466" spans="1:7" x14ac:dyDescent="0.3">
      <c r="A466" t="s">
        <v>521</v>
      </c>
      <c r="B466" t="s">
        <v>522</v>
      </c>
      <c r="C466">
        <v>4.5999999999999996</v>
      </c>
      <c r="D466">
        <v>26490</v>
      </c>
      <c r="E466">
        <v>15</v>
      </c>
      <c r="F466">
        <v>2017</v>
      </c>
      <c r="G466" t="s">
        <v>9</v>
      </c>
    </row>
    <row r="467" spans="1:7" x14ac:dyDescent="0.3">
      <c r="A467" t="s">
        <v>521</v>
      </c>
      <c r="B467" t="s">
        <v>522</v>
      </c>
      <c r="C467">
        <v>4.5999999999999996</v>
      </c>
      <c r="D467">
        <v>26490</v>
      </c>
      <c r="E467">
        <v>15</v>
      </c>
      <c r="F467">
        <v>2018</v>
      </c>
      <c r="G467" t="s">
        <v>9</v>
      </c>
    </row>
    <row r="468" spans="1:7" x14ac:dyDescent="0.3">
      <c r="A468" t="s">
        <v>521</v>
      </c>
      <c r="B468" t="s">
        <v>522</v>
      </c>
      <c r="C468">
        <v>4.5999999999999996</v>
      </c>
      <c r="D468">
        <v>26490</v>
      </c>
      <c r="E468">
        <v>15</v>
      </c>
      <c r="F468">
        <v>2019</v>
      </c>
      <c r="G468" t="s">
        <v>9</v>
      </c>
    </row>
    <row r="469" spans="1:7" x14ac:dyDescent="0.3">
      <c r="A469" t="s">
        <v>523</v>
      </c>
      <c r="B469" t="s">
        <v>301</v>
      </c>
      <c r="C469">
        <v>4.7</v>
      </c>
      <c r="D469">
        <v>5487</v>
      </c>
      <c r="E469">
        <v>9</v>
      </c>
      <c r="F469">
        <v>2017</v>
      </c>
      <c r="G469" t="s">
        <v>9</v>
      </c>
    </row>
    <row r="470" spans="1:7" x14ac:dyDescent="0.3">
      <c r="A470" t="s">
        <v>524</v>
      </c>
      <c r="B470" t="s">
        <v>80</v>
      </c>
      <c r="C470">
        <v>4.7</v>
      </c>
      <c r="D470">
        <v>6377</v>
      </c>
      <c r="E470">
        <v>7</v>
      </c>
      <c r="F470">
        <v>2012</v>
      </c>
      <c r="G470" t="s">
        <v>12</v>
      </c>
    </row>
    <row r="471" spans="1:7" x14ac:dyDescent="0.3">
      <c r="A471" t="s">
        <v>525</v>
      </c>
      <c r="B471" t="s">
        <v>333</v>
      </c>
      <c r="C471">
        <v>4.7</v>
      </c>
      <c r="D471">
        <v>1463</v>
      </c>
      <c r="E471">
        <v>10</v>
      </c>
      <c r="F471">
        <v>2011</v>
      </c>
      <c r="G471" t="s">
        <v>12</v>
      </c>
    </row>
    <row r="472" spans="1:7" x14ac:dyDescent="0.3">
      <c r="A472" t="s">
        <v>526</v>
      </c>
      <c r="B472" t="s">
        <v>527</v>
      </c>
      <c r="C472">
        <v>4.4000000000000004</v>
      </c>
      <c r="D472">
        <v>3759</v>
      </c>
      <c r="E472">
        <v>6</v>
      </c>
      <c r="F472">
        <v>2009</v>
      </c>
      <c r="G472" t="s">
        <v>12</v>
      </c>
    </row>
    <row r="473" spans="1:7" x14ac:dyDescent="0.3">
      <c r="A473" t="s">
        <v>528</v>
      </c>
      <c r="B473" t="s">
        <v>103</v>
      </c>
      <c r="C473">
        <v>4.4000000000000004</v>
      </c>
      <c r="D473">
        <v>3503</v>
      </c>
      <c r="E473">
        <v>9</v>
      </c>
      <c r="F473">
        <v>2009</v>
      </c>
      <c r="G473" t="s">
        <v>9</v>
      </c>
    </row>
    <row r="474" spans="1:7" x14ac:dyDescent="0.3">
      <c r="A474" t="s">
        <v>529</v>
      </c>
      <c r="B474" t="s">
        <v>530</v>
      </c>
      <c r="C474">
        <v>4.7</v>
      </c>
      <c r="D474">
        <v>11550</v>
      </c>
      <c r="E474">
        <v>10</v>
      </c>
      <c r="F474">
        <v>2019</v>
      </c>
      <c r="G474" t="s">
        <v>9</v>
      </c>
    </row>
    <row r="475" spans="1:7" x14ac:dyDescent="0.3">
      <c r="A475" t="s">
        <v>531</v>
      </c>
      <c r="B475" t="s">
        <v>75</v>
      </c>
      <c r="C475">
        <v>4.7</v>
      </c>
      <c r="D475">
        <v>3801</v>
      </c>
      <c r="E475">
        <v>82</v>
      </c>
      <c r="F475">
        <v>2009</v>
      </c>
      <c r="G475" t="s">
        <v>12</v>
      </c>
    </row>
    <row r="476" spans="1:7" x14ac:dyDescent="0.3">
      <c r="A476" t="s">
        <v>532</v>
      </c>
      <c r="B476" t="s">
        <v>80</v>
      </c>
      <c r="C476">
        <v>4.8</v>
      </c>
      <c r="D476">
        <v>3796</v>
      </c>
      <c r="E476">
        <v>12</v>
      </c>
      <c r="F476">
        <v>2010</v>
      </c>
      <c r="G476" t="s">
        <v>12</v>
      </c>
    </row>
    <row r="477" spans="1:7" x14ac:dyDescent="0.3">
      <c r="A477" t="s">
        <v>533</v>
      </c>
      <c r="B477" t="s">
        <v>534</v>
      </c>
      <c r="C477">
        <v>4.7</v>
      </c>
      <c r="D477">
        <v>9030</v>
      </c>
      <c r="E477">
        <v>10</v>
      </c>
      <c r="F477">
        <v>2019</v>
      </c>
      <c r="G477" t="s">
        <v>9</v>
      </c>
    </row>
    <row r="478" spans="1:7" x14ac:dyDescent="0.3">
      <c r="A478" t="s">
        <v>535</v>
      </c>
      <c r="B478" t="s">
        <v>536</v>
      </c>
      <c r="C478">
        <v>4.9000000000000004</v>
      </c>
      <c r="D478">
        <v>19546</v>
      </c>
      <c r="E478">
        <v>5</v>
      </c>
      <c r="F478">
        <v>2013</v>
      </c>
      <c r="G478" t="s">
        <v>12</v>
      </c>
    </row>
    <row r="479" spans="1:7" x14ac:dyDescent="0.3">
      <c r="A479" t="s">
        <v>535</v>
      </c>
      <c r="B479" t="s">
        <v>536</v>
      </c>
      <c r="C479">
        <v>4.9000000000000004</v>
      </c>
      <c r="D479">
        <v>19546</v>
      </c>
      <c r="E479">
        <v>5</v>
      </c>
      <c r="F479">
        <v>2014</v>
      </c>
      <c r="G479" t="s">
        <v>12</v>
      </c>
    </row>
    <row r="480" spans="1:7" x14ac:dyDescent="0.3">
      <c r="A480" t="s">
        <v>535</v>
      </c>
      <c r="B480" t="s">
        <v>536</v>
      </c>
      <c r="C480">
        <v>4.9000000000000004</v>
      </c>
      <c r="D480">
        <v>19546</v>
      </c>
      <c r="E480">
        <v>5</v>
      </c>
      <c r="F480">
        <v>2015</v>
      </c>
      <c r="G480" t="s">
        <v>12</v>
      </c>
    </row>
    <row r="481" spans="1:7" x14ac:dyDescent="0.3">
      <c r="A481" t="s">
        <v>535</v>
      </c>
      <c r="B481" t="s">
        <v>536</v>
      </c>
      <c r="C481">
        <v>4.9000000000000004</v>
      </c>
      <c r="D481">
        <v>19546</v>
      </c>
      <c r="E481">
        <v>5</v>
      </c>
      <c r="F481">
        <v>2016</v>
      </c>
      <c r="G481" t="s">
        <v>12</v>
      </c>
    </row>
    <row r="482" spans="1:7" x14ac:dyDescent="0.3">
      <c r="A482" t="s">
        <v>535</v>
      </c>
      <c r="B482" t="s">
        <v>536</v>
      </c>
      <c r="C482">
        <v>4.9000000000000004</v>
      </c>
      <c r="D482">
        <v>19546</v>
      </c>
      <c r="E482">
        <v>5</v>
      </c>
      <c r="F482">
        <v>2017</v>
      </c>
      <c r="G482" t="s">
        <v>12</v>
      </c>
    </row>
    <row r="483" spans="1:7" x14ac:dyDescent="0.3">
      <c r="A483" t="s">
        <v>535</v>
      </c>
      <c r="B483" t="s">
        <v>536</v>
      </c>
      <c r="C483">
        <v>4.9000000000000004</v>
      </c>
      <c r="D483">
        <v>19546</v>
      </c>
      <c r="E483">
        <v>5</v>
      </c>
      <c r="F483">
        <v>2018</v>
      </c>
      <c r="G483" t="s">
        <v>12</v>
      </c>
    </row>
    <row r="484" spans="1:7" x14ac:dyDescent="0.3">
      <c r="A484" t="s">
        <v>535</v>
      </c>
      <c r="B484" t="s">
        <v>536</v>
      </c>
      <c r="C484">
        <v>4.9000000000000004</v>
      </c>
      <c r="D484">
        <v>19546</v>
      </c>
      <c r="E484">
        <v>5</v>
      </c>
      <c r="F484">
        <v>2019</v>
      </c>
      <c r="G484" t="s">
        <v>12</v>
      </c>
    </row>
    <row r="485" spans="1:7" x14ac:dyDescent="0.3">
      <c r="A485" t="s">
        <v>537</v>
      </c>
      <c r="B485" t="s">
        <v>538</v>
      </c>
      <c r="C485">
        <v>4.5999999999999996</v>
      </c>
      <c r="D485">
        <v>7508</v>
      </c>
      <c r="E485">
        <v>16</v>
      </c>
      <c r="F485">
        <v>2015</v>
      </c>
      <c r="G485" t="s">
        <v>9</v>
      </c>
    </row>
    <row r="486" spans="1:7" x14ac:dyDescent="0.3">
      <c r="A486" t="s">
        <v>537</v>
      </c>
      <c r="B486" t="s">
        <v>538</v>
      </c>
      <c r="C486">
        <v>4.5999999999999996</v>
      </c>
      <c r="D486">
        <v>7508</v>
      </c>
      <c r="E486">
        <v>16</v>
      </c>
      <c r="F486">
        <v>2016</v>
      </c>
      <c r="G486" t="s">
        <v>9</v>
      </c>
    </row>
    <row r="487" spans="1:7" x14ac:dyDescent="0.3">
      <c r="A487" t="s">
        <v>537</v>
      </c>
      <c r="B487" t="s">
        <v>538</v>
      </c>
      <c r="C487">
        <v>4.5999999999999996</v>
      </c>
      <c r="D487">
        <v>7508</v>
      </c>
      <c r="E487">
        <v>16</v>
      </c>
      <c r="F487">
        <v>2017</v>
      </c>
      <c r="G487" t="s">
        <v>9</v>
      </c>
    </row>
    <row r="488" spans="1:7" x14ac:dyDescent="0.3">
      <c r="A488" t="s">
        <v>539</v>
      </c>
      <c r="B488" t="s">
        <v>540</v>
      </c>
      <c r="C488">
        <v>4.9000000000000004</v>
      </c>
      <c r="D488">
        <v>8842</v>
      </c>
      <c r="E488">
        <v>10</v>
      </c>
      <c r="F488">
        <v>2016</v>
      </c>
      <c r="G488" t="s">
        <v>12</v>
      </c>
    </row>
    <row r="489" spans="1:7" x14ac:dyDescent="0.3">
      <c r="A489" t="s">
        <v>539</v>
      </c>
      <c r="B489" t="s">
        <v>540</v>
      </c>
      <c r="C489">
        <v>4.9000000000000004</v>
      </c>
      <c r="D489">
        <v>8842</v>
      </c>
      <c r="E489">
        <v>10</v>
      </c>
      <c r="F489">
        <v>2017</v>
      </c>
      <c r="G489" t="s">
        <v>12</v>
      </c>
    </row>
    <row r="490" spans="1:7" x14ac:dyDescent="0.3">
      <c r="A490" t="s">
        <v>539</v>
      </c>
      <c r="B490" t="s">
        <v>540</v>
      </c>
      <c r="C490">
        <v>4.9000000000000004</v>
      </c>
      <c r="D490">
        <v>8842</v>
      </c>
      <c r="E490">
        <v>10</v>
      </c>
      <c r="F490">
        <v>2018</v>
      </c>
      <c r="G490" t="s">
        <v>12</v>
      </c>
    </row>
    <row r="491" spans="1:7" x14ac:dyDescent="0.3">
      <c r="A491" t="s">
        <v>539</v>
      </c>
      <c r="B491" t="s">
        <v>540</v>
      </c>
      <c r="C491">
        <v>4.9000000000000004</v>
      </c>
      <c r="D491">
        <v>8842</v>
      </c>
      <c r="E491">
        <v>10</v>
      </c>
      <c r="F491">
        <v>2019</v>
      </c>
      <c r="G491" t="s">
        <v>12</v>
      </c>
    </row>
    <row r="492" spans="1:7" x14ac:dyDescent="0.3">
      <c r="A492" t="s">
        <v>541</v>
      </c>
      <c r="B492" t="s">
        <v>542</v>
      </c>
      <c r="C492">
        <v>4.8</v>
      </c>
      <c r="D492">
        <v>30183</v>
      </c>
      <c r="E492">
        <v>4</v>
      </c>
      <c r="F492">
        <v>2018</v>
      </c>
      <c r="G492" t="s">
        <v>12</v>
      </c>
    </row>
    <row r="493" spans="1:7" x14ac:dyDescent="0.3">
      <c r="A493" t="s">
        <v>541</v>
      </c>
      <c r="B493" t="s">
        <v>542</v>
      </c>
      <c r="C493">
        <v>4.8</v>
      </c>
      <c r="D493">
        <v>30183</v>
      </c>
      <c r="E493">
        <v>4</v>
      </c>
      <c r="F493">
        <v>2019</v>
      </c>
      <c r="G493" t="s">
        <v>12</v>
      </c>
    </row>
    <row r="494" spans="1:7" x14ac:dyDescent="0.3">
      <c r="A494" t="s">
        <v>543</v>
      </c>
      <c r="B494" t="s">
        <v>544</v>
      </c>
      <c r="C494">
        <v>4.7</v>
      </c>
      <c r="D494">
        <v>6169</v>
      </c>
      <c r="E494">
        <v>16</v>
      </c>
      <c r="F494">
        <v>2015</v>
      </c>
      <c r="G494" t="s">
        <v>9</v>
      </c>
    </row>
    <row r="495" spans="1:7" x14ac:dyDescent="0.3">
      <c r="A495" t="s">
        <v>545</v>
      </c>
      <c r="B495" t="s">
        <v>546</v>
      </c>
      <c r="C495">
        <v>4.7</v>
      </c>
      <c r="D495">
        <v>7034</v>
      </c>
      <c r="E495">
        <v>15</v>
      </c>
      <c r="F495">
        <v>2013</v>
      </c>
      <c r="G495" t="s">
        <v>9</v>
      </c>
    </row>
    <row r="496" spans="1:7" x14ac:dyDescent="0.3">
      <c r="A496" t="s">
        <v>547</v>
      </c>
      <c r="B496" t="s">
        <v>548</v>
      </c>
      <c r="C496">
        <v>4.5999999999999996</v>
      </c>
      <c r="D496">
        <v>11034</v>
      </c>
      <c r="E496">
        <v>19</v>
      </c>
      <c r="F496">
        <v>2011</v>
      </c>
      <c r="G496" t="s">
        <v>9</v>
      </c>
    </row>
    <row r="497" spans="1:7" x14ac:dyDescent="0.3">
      <c r="A497" t="s">
        <v>547</v>
      </c>
      <c r="B497" t="s">
        <v>548</v>
      </c>
      <c r="C497">
        <v>4.5999999999999996</v>
      </c>
      <c r="D497">
        <v>11034</v>
      </c>
      <c r="E497">
        <v>19</v>
      </c>
      <c r="F497">
        <v>2012</v>
      </c>
      <c r="G497" t="s">
        <v>9</v>
      </c>
    </row>
    <row r="498" spans="1:7" x14ac:dyDescent="0.3">
      <c r="A498" t="s">
        <v>549</v>
      </c>
      <c r="B498" t="s">
        <v>550</v>
      </c>
      <c r="C498">
        <v>4.5</v>
      </c>
      <c r="D498">
        <v>7932</v>
      </c>
      <c r="E498">
        <v>9</v>
      </c>
      <c r="F498">
        <v>2017</v>
      </c>
      <c r="G498" t="s">
        <v>12</v>
      </c>
    </row>
    <row r="499" spans="1:7" x14ac:dyDescent="0.3">
      <c r="A499" t="s">
        <v>551</v>
      </c>
      <c r="B499" t="s">
        <v>552</v>
      </c>
      <c r="C499">
        <v>4.5</v>
      </c>
      <c r="D499">
        <v>1904</v>
      </c>
      <c r="E499">
        <v>23</v>
      </c>
      <c r="F499">
        <v>2012</v>
      </c>
      <c r="G499" t="s">
        <v>9</v>
      </c>
    </row>
    <row r="500" spans="1:7" x14ac:dyDescent="0.3">
      <c r="A500" t="s">
        <v>553</v>
      </c>
      <c r="B500" t="s">
        <v>554</v>
      </c>
      <c r="C500">
        <v>4.3</v>
      </c>
      <c r="D500">
        <v>3319</v>
      </c>
      <c r="E500">
        <v>11</v>
      </c>
      <c r="F500">
        <v>2009</v>
      </c>
      <c r="G500" t="s">
        <v>9</v>
      </c>
    </row>
    <row r="501" spans="1:7" x14ac:dyDescent="0.3">
      <c r="A501" t="s">
        <v>553</v>
      </c>
      <c r="B501" t="s">
        <v>554</v>
      </c>
      <c r="C501">
        <v>4.3</v>
      </c>
      <c r="D501">
        <v>3319</v>
      </c>
      <c r="E501">
        <v>11</v>
      </c>
      <c r="F501">
        <v>2010</v>
      </c>
      <c r="G501" t="s">
        <v>9</v>
      </c>
    </row>
    <row r="502" spans="1:7" x14ac:dyDescent="0.3">
      <c r="A502" t="s">
        <v>555</v>
      </c>
      <c r="B502" t="s">
        <v>556</v>
      </c>
      <c r="C502">
        <v>4.5999999999999996</v>
      </c>
      <c r="D502">
        <v>11128</v>
      </c>
      <c r="E502">
        <v>23</v>
      </c>
      <c r="F502">
        <v>2014</v>
      </c>
      <c r="G502" t="s">
        <v>9</v>
      </c>
    </row>
    <row r="503" spans="1:7" x14ac:dyDescent="0.3">
      <c r="A503" t="s">
        <v>555</v>
      </c>
      <c r="B503" t="s">
        <v>556</v>
      </c>
      <c r="C503">
        <v>4.5999999999999996</v>
      </c>
      <c r="D503">
        <v>11128</v>
      </c>
      <c r="E503">
        <v>23</v>
      </c>
      <c r="F503">
        <v>2015</v>
      </c>
      <c r="G503" t="s">
        <v>9</v>
      </c>
    </row>
    <row r="504" spans="1:7" x14ac:dyDescent="0.3">
      <c r="A504" t="s">
        <v>555</v>
      </c>
      <c r="B504" t="s">
        <v>556</v>
      </c>
      <c r="C504">
        <v>4.5999999999999996</v>
      </c>
      <c r="D504">
        <v>11128</v>
      </c>
      <c r="E504">
        <v>23</v>
      </c>
      <c r="F504">
        <v>2016</v>
      </c>
      <c r="G504" t="s">
        <v>9</v>
      </c>
    </row>
    <row r="505" spans="1:7" x14ac:dyDescent="0.3">
      <c r="A505" t="s">
        <v>555</v>
      </c>
      <c r="B505" t="s">
        <v>556</v>
      </c>
      <c r="C505">
        <v>4.5999999999999996</v>
      </c>
      <c r="D505">
        <v>11128</v>
      </c>
      <c r="E505">
        <v>23</v>
      </c>
      <c r="F505">
        <v>2017</v>
      </c>
      <c r="G505" t="s">
        <v>9</v>
      </c>
    </row>
    <row r="506" spans="1:7" x14ac:dyDescent="0.3">
      <c r="A506" t="s">
        <v>557</v>
      </c>
      <c r="B506" t="s">
        <v>558</v>
      </c>
      <c r="C506">
        <v>4.3</v>
      </c>
      <c r="D506">
        <v>5977</v>
      </c>
      <c r="E506">
        <v>12</v>
      </c>
      <c r="F506">
        <v>2011</v>
      </c>
      <c r="G506" t="s">
        <v>9</v>
      </c>
    </row>
    <row r="507" spans="1:7" x14ac:dyDescent="0.3">
      <c r="A507" t="s">
        <v>559</v>
      </c>
      <c r="B507" t="s">
        <v>184</v>
      </c>
      <c r="C507">
        <v>4.8</v>
      </c>
      <c r="D507">
        <v>26234</v>
      </c>
      <c r="E507">
        <v>0</v>
      </c>
      <c r="F507">
        <v>2013</v>
      </c>
      <c r="G507" t="s">
        <v>12</v>
      </c>
    </row>
    <row r="508" spans="1:7" x14ac:dyDescent="0.3">
      <c r="A508" t="s">
        <v>559</v>
      </c>
      <c r="B508" t="s">
        <v>184</v>
      </c>
      <c r="C508">
        <v>4.8</v>
      </c>
      <c r="D508">
        <v>26234</v>
      </c>
      <c r="E508">
        <v>0</v>
      </c>
      <c r="F508">
        <v>2014</v>
      </c>
      <c r="G508" t="s">
        <v>12</v>
      </c>
    </row>
    <row r="509" spans="1:7" x14ac:dyDescent="0.3">
      <c r="A509" t="s">
        <v>559</v>
      </c>
      <c r="B509" t="s">
        <v>184</v>
      </c>
      <c r="C509">
        <v>4.8</v>
      </c>
      <c r="D509">
        <v>26234</v>
      </c>
      <c r="E509">
        <v>0</v>
      </c>
      <c r="F509">
        <v>2015</v>
      </c>
      <c r="G509" t="s">
        <v>12</v>
      </c>
    </row>
    <row r="510" spans="1:7" x14ac:dyDescent="0.3">
      <c r="A510" t="s">
        <v>559</v>
      </c>
      <c r="B510" t="s">
        <v>184</v>
      </c>
      <c r="C510">
        <v>4.8</v>
      </c>
      <c r="D510">
        <v>26234</v>
      </c>
      <c r="E510">
        <v>0</v>
      </c>
      <c r="F510">
        <v>2016</v>
      </c>
      <c r="G510" t="s">
        <v>12</v>
      </c>
    </row>
    <row r="511" spans="1:7" x14ac:dyDescent="0.3">
      <c r="A511" t="s">
        <v>559</v>
      </c>
      <c r="B511" t="s">
        <v>184</v>
      </c>
      <c r="C511">
        <v>4.8</v>
      </c>
      <c r="D511">
        <v>26234</v>
      </c>
      <c r="E511">
        <v>7</v>
      </c>
      <c r="F511">
        <v>2019</v>
      </c>
      <c r="G511" t="s">
        <v>12</v>
      </c>
    </row>
    <row r="512" spans="1:7" x14ac:dyDescent="0.3">
      <c r="A512" t="s">
        <v>560</v>
      </c>
      <c r="B512" t="s">
        <v>383</v>
      </c>
      <c r="C512">
        <v>4.5999999999999996</v>
      </c>
      <c r="D512">
        <v>4360</v>
      </c>
      <c r="E512">
        <v>21</v>
      </c>
      <c r="F512">
        <v>2017</v>
      </c>
      <c r="G512" t="s">
        <v>9</v>
      </c>
    </row>
    <row r="513" spans="1:7" x14ac:dyDescent="0.3">
      <c r="A513" t="s">
        <v>561</v>
      </c>
      <c r="B513" t="s">
        <v>562</v>
      </c>
      <c r="C513">
        <v>4.8</v>
      </c>
      <c r="D513">
        <v>2282</v>
      </c>
      <c r="E513">
        <v>21</v>
      </c>
      <c r="F513">
        <v>2010</v>
      </c>
      <c r="G513" t="s">
        <v>12</v>
      </c>
    </row>
    <row r="514" spans="1:7" x14ac:dyDescent="0.3">
      <c r="A514" t="s">
        <v>563</v>
      </c>
      <c r="B514" t="s">
        <v>564</v>
      </c>
      <c r="C514">
        <v>4.5</v>
      </c>
      <c r="D514">
        <v>438</v>
      </c>
      <c r="E514">
        <v>15</v>
      </c>
      <c r="F514">
        <v>2009</v>
      </c>
      <c r="G514" t="s">
        <v>9</v>
      </c>
    </row>
    <row r="515" spans="1:7" x14ac:dyDescent="0.3">
      <c r="A515" t="s">
        <v>565</v>
      </c>
      <c r="B515" t="s">
        <v>75</v>
      </c>
      <c r="C515">
        <v>4.7</v>
      </c>
      <c r="D515">
        <v>11676</v>
      </c>
      <c r="E515">
        <v>9</v>
      </c>
      <c r="F515">
        <v>2009</v>
      </c>
      <c r="G515" t="s">
        <v>12</v>
      </c>
    </row>
    <row r="516" spans="1:7" x14ac:dyDescent="0.3">
      <c r="A516" t="s">
        <v>566</v>
      </c>
      <c r="B516" t="s">
        <v>60</v>
      </c>
      <c r="C516">
        <v>4.5</v>
      </c>
      <c r="D516">
        <v>2586</v>
      </c>
      <c r="E516">
        <v>5</v>
      </c>
      <c r="F516">
        <v>2014</v>
      </c>
      <c r="G516" t="s">
        <v>12</v>
      </c>
    </row>
    <row r="517" spans="1:7" x14ac:dyDescent="0.3">
      <c r="A517" t="s">
        <v>567</v>
      </c>
      <c r="B517" t="s">
        <v>568</v>
      </c>
      <c r="C517">
        <v>4.8</v>
      </c>
      <c r="D517">
        <v>29673</v>
      </c>
      <c r="E517">
        <v>16</v>
      </c>
      <c r="F517">
        <v>2010</v>
      </c>
      <c r="G517" t="s">
        <v>9</v>
      </c>
    </row>
    <row r="518" spans="1:7" x14ac:dyDescent="0.3">
      <c r="A518" t="s">
        <v>567</v>
      </c>
      <c r="B518" t="s">
        <v>568</v>
      </c>
      <c r="C518">
        <v>4.8</v>
      </c>
      <c r="D518">
        <v>29673</v>
      </c>
      <c r="E518">
        <v>16</v>
      </c>
      <c r="F518">
        <v>2011</v>
      </c>
      <c r="G518" t="s">
        <v>9</v>
      </c>
    </row>
    <row r="519" spans="1:7" x14ac:dyDescent="0.3">
      <c r="A519" t="s">
        <v>567</v>
      </c>
      <c r="B519" t="s">
        <v>568</v>
      </c>
      <c r="C519">
        <v>4.8</v>
      </c>
      <c r="D519">
        <v>29673</v>
      </c>
      <c r="E519">
        <v>16</v>
      </c>
      <c r="F519">
        <v>2012</v>
      </c>
      <c r="G519" t="s">
        <v>9</v>
      </c>
    </row>
    <row r="520" spans="1:7" x14ac:dyDescent="0.3">
      <c r="A520" t="s">
        <v>567</v>
      </c>
      <c r="B520" t="s">
        <v>568</v>
      </c>
      <c r="C520">
        <v>4.8</v>
      </c>
      <c r="D520">
        <v>29673</v>
      </c>
      <c r="E520">
        <v>13</v>
      </c>
      <c r="F520">
        <v>2014</v>
      </c>
      <c r="G520" t="s">
        <v>9</v>
      </c>
    </row>
    <row r="521" spans="1:7" x14ac:dyDescent="0.3">
      <c r="A521" t="s">
        <v>567</v>
      </c>
      <c r="B521" t="s">
        <v>568</v>
      </c>
      <c r="C521">
        <v>4.8</v>
      </c>
      <c r="D521">
        <v>29673</v>
      </c>
      <c r="E521">
        <v>16</v>
      </c>
      <c r="F521">
        <v>2014</v>
      </c>
      <c r="G521" t="s">
        <v>9</v>
      </c>
    </row>
    <row r="522" spans="1:7" x14ac:dyDescent="0.3">
      <c r="A522" t="s">
        <v>569</v>
      </c>
      <c r="B522" t="s">
        <v>11</v>
      </c>
      <c r="C522">
        <v>4.3</v>
      </c>
      <c r="D522">
        <v>6740</v>
      </c>
      <c r="E522">
        <v>20</v>
      </c>
      <c r="F522">
        <v>2009</v>
      </c>
      <c r="G522" t="s">
        <v>12</v>
      </c>
    </row>
    <row r="523" spans="1:7" x14ac:dyDescent="0.3">
      <c r="A523" t="s">
        <v>570</v>
      </c>
      <c r="B523" t="s">
        <v>279</v>
      </c>
      <c r="C523">
        <v>4.9000000000000004</v>
      </c>
      <c r="D523">
        <v>5956</v>
      </c>
      <c r="E523">
        <v>11</v>
      </c>
      <c r="F523">
        <v>2019</v>
      </c>
      <c r="G523" t="s">
        <v>9</v>
      </c>
    </row>
    <row r="524" spans="1:7" x14ac:dyDescent="0.3">
      <c r="A524" t="s">
        <v>571</v>
      </c>
      <c r="B524" t="s">
        <v>572</v>
      </c>
      <c r="C524">
        <v>4.8</v>
      </c>
      <c r="D524">
        <v>6108</v>
      </c>
      <c r="E524">
        <v>4</v>
      </c>
      <c r="F524">
        <v>2019</v>
      </c>
      <c r="G524" t="s">
        <v>9</v>
      </c>
    </row>
    <row r="525" spans="1:7" x14ac:dyDescent="0.3">
      <c r="A525" t="s">
        <v>573</v>
      </c>
      <c r="B525" t="s">
        <v>251</v>
      </c>
      <c r="C525">
        <v>4.7</v>
      </c>
      <c r="D525">
        <v>4585</v>
      </c>
      <c r="E525">
        <v>9</v>
      </c>
      <c r="F525">
        <v>2016</v>
      </c>
      <c r="G525" t="s">
        <v>9</v>
      </c>
    </row>
    <row r="526" spans="1:7" x14ac:dyDescent="0.3">
      <c r="A526" t="s">
        <v>574</v>
      </c>
      <c r="B526" t="s">
        <v>575</v>
      </c>
      <c r="C526">
        <v>4.8</v>
      </c>
      <c r="D526">
        <v>3829</v>
      </c>
      <c r="E526">
        <v>42</v>
      </c>
      <c r="F526">
        <v>2009</v>
      </c>
      <c r="G526" t="s">
        <v>12</v>
      </c>
    </row>
    <row r="527" spans="1:7" x14ac:dyDescent="0.3">
      <c r="A527" t="s">
        <v>576</v>
      </c>
      <c r="B527" t="s">
        <v>577</v>
      </c>
      <c r="C527">
        <v>4.5</v>
      </c>
      <c r="D527">
        <v>8958</v>
      </c>
      <c r="E527">
        <v>12</v>
      </c>
      <c r="F527">
        <v>2011</v>
      </c>
      <c r="G527" t="s">
        <v>12</v>
      </c>
    </row>
    <row r="528" spans="1:7" x14ac:dyDescent="0.3">
      <c r="A528" t="s">
        <v>578</v>
      </c>
      <c r="B528" t="s">
        <v>579</v>
      </c>
      <c r="C528">
        <v>4.5999999999999996</v>
      </c>
      <c r="D528">
        <v>5492</v>
      </c>
      <c r="E528">
        <v>18</v>
      </c>
      <c r="F528">
        <v>2017</v>
      </c>
      <c r="G528" t="s">
        <v>9</v>
      </c>
    </row>
    <row r="529" spans="1:7" x14ac:dyDescent="0.3">
      <c r="A529" t="s">
        <v>580</v>
      </c>
      <c r="B529" t="s">
        <v>581</v>
      </c>
      <c r="C529">
        <v>4.7</v>
      </c>
      <c r="D529">
        <v>9292</v>
      </c>
      <c r="E529">
        <v>17</v>
      </c>
      <c r="F529">
        <v>2014</v>
      </c>
      <c r="G529" t="s">
        <v>9</v>
      </c>
    </row>
    <row r="530" spans="1:7" x14ac:dyDescent="0.3">
      <c r="A530" t="s">
        <v>582</v>
      </c>
      <c r="B530" t="s">
        <v>319</v>
      </c>
      <c r="C530">
        <v>4.7</v>
      </c>
      <c r="D530">
        <v>1873</v>
      </c>
      <c r="E530">
        <v>14</v>
      </c>
      <c r="F530">
        <v>2015</v>
      </c>
      <c r="G530" t="s">
        <v>12</v>
      </c>
    </row>
    <row r="531" spans="1:7" x14ac:dyDescent="0.3">
      <c r="A531" t="s">
        <v>583</v>
      </c>
      <c r="B531" t="s">
        <v>584</v>
      </c>
      <c r="C531">
        <v>4.8</v>
      </c>
      <c r="D531">
        <v>8170</v>
      </c>
      <c r="E531">
        <v>13</v>
      </c>
      <c r="F531">
        <v>2019</v>
      </c>
      <c r="G531" t="s">
        <v>12</v>
      </c>
    </row>
    <row r="532" spans="1:7" x14ac:dyDescent="0.3">
      <c r="A532" t="s">
        <v>585</v>
      </c>
      <c r="B532" t="s">
        <v>586</v>
      </c>
      <c r="C532">
        <v>4.4000000000000004</v>
      </c>
      <c r="D532">
        <v>3341</v>
      </c>
      <c r="E532">
        <v>9</v>
      </c>
      <c r="F532">
        <v>2011</v>
      </c>
      <c r="G532" t="s">
        <v>9</v>
      </c>
    </row>
    <row r="533" spans="1:7" x14ac:dyDescent="0.3">
      <c r="A533" t="s">
        <v>587</v>
      </c>
      <c r="B533" t="s">
        <v>588</v>
      </c>
      <c r="C533">
        <v>4.4000000000000004</v>
      </c>
      <c r="D533">
        <v>7497</v>
      </c>
      <c r="E533">
        <v>6</v>
      </c>
      <c r="F533">
        <v>2012</v>
      </c>
      <c r="G533" t="s">
        <v>9</v>
      </c>
    </row>
    <row r="534" spans="1:7" x14ac:dyDescent="0.3">
      <c r="A534" t="s">
        <v>587</v>
      </c>
      <c r="B534" t="s">
        <v>588</v>
      </c>
      <c r="C534">
        <v>4.4000000000000004</v>
      </c>
      <c r="D534">
        <v>7497</v>
      </c>
      <c r="E534">
        <v>6</v>
      </c>
      <c r="F534">
        <v>2013</v>
      </c>
      <c r="G534" t="s">
        <v>9</v>
      </c>
    </row>
    <row r="535" spans="1:7" x14ac:dyDescent="0.3">
      <c r="A535" t="s">
        <v>589</v>
      </c>
      <c r="B535" t="s">
        <v>590</v>
      </c>
      <c r="C535">
        <v>4.8</v>
      </c>
      <c r="D535">
        <v>13779</v>
      </c>
      <c r="E535">
        <v>14</v>
      </c>
      <c r="F535">
        <v>2016</v>
      </c>
      <c r="G535" t="s">
        <v>9</v>
      </c>
    </row>
    <row r="536" spans="1:7" x14ac:dyDescent="0.3">
      <c r="A536" t="s">
        <v>591</v>
      </c>
      <c r="B536" t="s">
        <v>592</v>
      </c>
      <c r="C536">
        <v>4.8</v>
      </c>
      <c r="D536">
        <v>87841</v>
      </c>
      <c r="E536">
        <v>15</v>
      </c>
      <c r="F536">
        <v>2019</v>
      </c>
      <c r="G536" t="s">
        <v>12</v>
      </c>
    </row>
    <row r="537" spans="1:7" x14ac:dyDescent="0.3">
      <c r="A537" t="s">
        <v>593</v>
      </c>
      <c r="B537" t="s">
        <v>594</v>
      </c>
      <c r="C537">
        <v>4.8</v>
      </c>
      <c r="D537">
        <v>9967</v>
      </c>
      <c r="E537">
        <v>13</v>
      </c>
      <c r="F537">
        <v>2009</v>
      </c>
      <c r="G537" t="s">
        <v>12</v>
      </c>
    </row>
    <row r="538" spans="1:7" x14ac:dyDescent="0.3">
      <c r="A538" t="s">
        <v>595</v>
      </c>
      <c r="B538" t="s">
        <v>596</v>
      </c>
      <c r="C538">
        <v>4.5999999999999996</v>
      </c>
      <c r="D538">
        <v>6669</v>
      </c>
      <c r="E538">
        <v>12</v>
      </c>
      <c r="F538">
        <v>2018</v>
      </c>
      <c r="G538" t="s">
        <v>9</v>
      </c>
    </row>
    <row r="539" spans="1:7" x14ac:dyDescent="0.3">
      <c r="A539" t="s">
        <v>597</v>
      </c>
      <c r="B539" t="s">
        <v>598</v>
      </c>
      <c r="C539">
        <v>4.4000000000000004</v>
      </c>
      <c r="D539">
        <v>17044</v>
      </c>
      <c r="E539">
        <v>18</v>
      </c>
      <c r="F539">
        <v>2012</v>
      </c>
      <c r="G539" t="s">
        <v>9</v>
      </c>
    </row>
    <row r="540" spans="1:7" x14ac:dyDescent="0.3">
      <c r="A540" t="s">
        <v>599</v>
      </c>
      <c r="B540" t="s">
        <v>600</v>
      </c>
      <c r="C540">
        <v>4.5</v>
      </c>
      <c r="D540">
        <v>10760</v>
      </c>
      <c r="E540">
        <v>15</v>
      </c>
      <c r="F540">
        <v>2012</v>
      </c>
      <c r="G540" t="s">
        <v>12</v>
      </c>
    </row>
    <row r="541" spans="1:7" x14ac:dyDescent="0.3">
      <c r="A541" t="s">
        <v>601</v>
      </c>
      <c r="B541" t="s">
        <v>602</v>
      </c>
      <c r="C541">
        <v>4.2</v>
      </c>
      <c r="D541">
        <v>1302</v>
      </c>
      <c r="E541">
        <v>11</v>
      </c>
      <c r="F541">
        <v>2010</v>
      </c>
      <c r="G541" t="s">
        <v>9</v>
      </c>
    </row>
    <row r="542" spans="1:7" x14ac:dyDescent="0.3">
      <c r="A542" t="s">
        <v>603</v>
      </c>
      <c r="B542" t="s">
        <v>604</v>
      </c>
      <c r="C542">
        <v>4.8</v>
      </c>
      <c r="D542">
        <v>21625</v>
      </c>
      <c r="E542">
        <v>9</v>
      </c>
      <c r="F542">
        <v>2013</v>
      </c>
      <c r="G542" t="s">
        <v>12</v>
      </c>
    </row>
    <row r="543" spans="1:7" x14ac:dyDescent="0.3">
      <c r="A543" t="s">
        <v>603</v>
      </c>
      <c r="B543" t="s">
        <v>604</v>
      </c>
      <c r="C543">
        <v>4.8</v>
      </c>
      <c r="D543">
        <v>21625</v>
      </c>
      <c r="E543">
        <v>9</v>
      </c>
      <c r="F543">
        <v>2014</v>
      </c>
      <c r="G543" t="s">
        <v>12</v>
      </c>
    </row>
    <row r="544" spans="1:7" x14ac:dyDescent="0.3">
      <c r="A544" t="s">
        <v>603</v>
      </c>
      <c r="B544" t="s">
        <v>604</v>
      </c>
      <c r="C544">
        <v>4.8</v>
      </c>
      <c r="D544">
        <v>21625</v>
      </c>
      <c r="E544">
        <v>9</v>
      </c>
      <c r="F544">
        <v>2015</v>
      </c>
      <c r="G544" t="s">
        <v>12</v>
      </c>
    </row>
    <row r="545" spans="1:7" x14ac:dyDescent="0.3">
      <c r="A545" t="s">
        <v>603</v>
      </c>
      <c r="B545" t="s">
        <v>604</v>
      </c>
      <c r="C545">
        <v>4.8</v>
      </c>
      <c r="D545">
        <v>21625</v>
      </c>
      <c r="E545">
        <v>9</v>
      </c>
      <c r="F545">
        <v>2016</v>
      </c>
      <c r="G545" t="s">
        <v>12</v>
      </c>
    </row>
    <row r="546" spans="1:7" x14ac:dyDescent="0.3">
      <c r="A546" t="s">
        <v>603</v>
      </c>
      <c r="B546" t="s">
        <v>604</v>
      </c>
      <c r="C546">
        <v>4.8</v>
      </c>
      <c r="D546">
        <v>21625</v>
      </c>
      <c r="E546">
        <v>9</v>
      </c>
      <c r="F546">
        <v>2017</v>
      </c>
      <c r="G546" t="s">
        <v>12</v>
      </c>
    </row>
    <row r="547" spans="1:7" x14ac:dyDescent="0.3">
      <c r="A547" t="s">
        <v>605</v>
      </c>
      <c r="B547" t="s">
        <v>80</v>
      </c>
      <c r="C547">
        <v>4.9000000000000004</v>
      </c>
      <c r="D547">
        <v>9413</v>
      </c>
      <c r="E547">
        <v>8</v>
      </c>
      <c r="F547">
        <v>2019</v>
      </c>
      <c r="G547" t="s">
        <v>12</v>
      </c>
    </row>
    <row r="548" spans="1:7" x14ac:dyDescent="0.3">
      <c r="A548" t="s">
        <v>606</v>
      </c>
      <c r="B548" t="s">
        <v>607</v>
      </c>
      <c r="C548">
        <v>4.7</v>
      </c>
      <c r="D548">
        <v>14331</v>
      </c>
      <c r="E548">
        <v>8</v>
      </c>
      <c r="F548">
        <v>2016</v>
      </c>
      <c r="G548" t="s">
        <v>9</v>
      </c>
    </row>
    <row r="549" spans="1:7" x14ac:dyDescent="0.3">
      <c r="A549" t="s">
        <v>606</v>
      </c>
      <c r="B549" t="s">
        <v>607</v>
      </c>
      <c r="C549">
        <v>4.7</v>
      </c>
      <c r="D549">
        <v>14331</v>
      </c>
      <c r="E549">
        <v>8</v>
      </c>
      <c r="F549">
        <v>2017</v>
      </c>
      <c r="G549" t="s">
        <v>9</v>
      </c>
    </row>
    <row r="550" spans="1:7" x14ac:dyDescent="0.3">
      <c r="A550" t="s">
        <v>606</v>
      </c>
      <c r="B550" t="s">
        <v>607</v>
      </c>
      <c r="C550">
        <v>4.7</v>
      </c>
      <c r="D550">
        <v>14331</v>
      </c>
      <c r="E550">
        <v>8</v>
      </c>
      <c r="F550">
        <v>2018</v>
      </c>
      <c r="G550" t="s">
        <v>9</v>
      </c>
    </row>
    <row r="551" spans="1:7" x14ac:dyDescent="0.3">
      <c r="A551" t="s">
        <v>606</v>
      </c>
      <c r="B551" t="s">
        <v>607</v>
      </c>
      <c r="C551">
        <v>4.7</v>
      </c>
      <c r="D551">
        <v>14331</v>
      </c>
      <c r="E551">
        <v>8</v>
      </c>
      <c r="F551">
        <v>2019</v>
      </c>
      <c r="G55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5D93-3283-439A-BC82-47A1FDDDB318}">
  <dimension ref="A1:U549"/>
  <sheetViews>
    <sheetView workbookViewId="0">
      <selection activeCell="A11" sqref="A11"/>
    </sheetView>
  </sheetViews>
  <sheetFormatPr defaultRowHeight="14.4" x14ac:dyDescent="0.3"/>
  <cols>
    <col min="1" max="1" width="34.88671875" style="13" customWidth="1"/>
    <col min="2" max="2" width="15.77734375" customWidth="1"/>
    <col min="3" max="3" width="12.77734375" customWidth="1"/>
    <col min="4" max="4" width="12.77734375" style="12" customWidth="1"/>
    <col min="5" max="5" width="12.77734375" customWidth="1"/>
    <col min="6" max="7" width="15.77734375" customWidth="1"/>
    <col min="8" max="21" width="8.88671875" style="32"/>
  </cols>
  <sheetData>
    <row r="1" spans="1:17" ht="15.6" x14ac:dyDescent="0.3">
      <c r="A1" s="14" t="s">
        <v>0</v>
      </c>
      <c r="B1" s="7" t="s">
        <v>1</v>
      </c>
      <c r="C1" s="7" t="s">
        <v>2</v>
      </c>
      <c r="D1" s="10" t="s">
        <v>3</v>
      </c>
      <c r="E1" s="7" t="s">
        <v>4</v>
      </c>
      <c r="F1" s="7" t="s">
        <v>5</v>
      </c>
      <c r="G1" s="7" t="s">
        <v>6</v>
      </c>
      <c r="M1" s="32" t="s">
        <v>643</v>
      </c>
      <c r="O1" s="32" t="s">
        <v>644</v>
      </c>
    </row>
    <row r="2" spans="1:17" x14ac:dyDescent="0.3">
      <c r="A2" s="13" t="s">
        <v>7</v>
      </c>
      <c r="B2" s="8" t="s">
        <v>8</v>
      </c>
      <c r="C2" s="8">
        <v>4.7</v>
      </c>
      <c r="D2" s="11">
        <v>17350</v>
      </c>
      <c r="E2" s="9">
        <v>8</v>
      </c>
      <c r="F2" s="8">
        <v>2016</v>
      </c>
      <c r="G2" s="8" t="s">
        <v>9</v>
      </c>
      <c r="M2" s="33" t="s">
        <v>8</v>
      </c>
      <c r="O2" s="32">
        <f>SUMIF(B:B,M2,D:D)</f>
        <v>17350</v>
      </c>
      <c r="P2" s="32" t="str">
        <f>_xlfn.XLOOKUP(MAX(O2:O249),O2:O249,M2:M249)</f>
        <v>Suzanne Collins</v>
      </c>
      <c r="Q2" s="34">
        <f>MAX(O2:O249)</f>
        <v>278329</v>
      </c>
    </row>
    <row r="3" spans="1:17" x14ac:dyDescent="0.3">
      <c r="A3" s="13" t="s">
        <v>10</v>
      </c>
      <c r="B3" s="8" t="s">
        <v>11</v>
      </c>
      <c r="C3" s="8">
        <v>4.5999999999999996</v>
      </c>
      <c r="D3" s="11">
        <v>2052</v>
      </c>
      <c r="E3" s="9">
        <v>22</v>
      </c>
      <c r="F3" s="8">
        <v>2011</v>
      </c>
      <c r="G3" s="8" t="s">
        <v>12</v>
      </c>
      <c r="M3" s="33" t="s">
        <v>11</v>
      </c>
      <c r="O3" s="32">
        <f t="shared" ref="O3:O66" si="0">SUMIF(B:B,M3,D:D)</f>
        <v>29385</v>
      </c>
      <c r="P3" s="32" t="str">
        <f>_xlfn.XLOOKUP(MIN(O2:O249),O2:O249,M2:M249)</f>
        <v>Zhi Gang Sha</v>
      </c>
      <c r="Q3" s="32">
        <f>MIN(O2:O249)</f>
        <v>257</v>
      </c>
    </row>
    <row r="4" spans="1:17" x14ac:dyDescent="0.3">
      <c r="A4" s="13" t="s">
        <v>13</v>
      </c>
      <c r="B4" s="8" t="s">
        <v>14</v>
      </c>
      <c r="C4" s="8">
        <v>4.7</v>
      </c>
      <c r="D4" s="11">
        <v>18979</v>
      </c>
      <c r="E4" s="9">
        <v>15</v>
      </c>
      <c r="F4" s="8">
        <v>2018</v>
      </c>
      <c r="G4" s="8" t="s">
        <v>9</v>
      </c>
      <c r="M4" s="33" t="s">
        <v>14</v>
      </c>
      <c r="O4" s="32">
        <f t="shared" si="0"/>
        <v>18979</v>
      </c>
      <c r="P4" s="32" t="s">
        <v>623</v>
      </c>
    </row>
    <row r="5" spans="1:17" x14ac:dyDescent="0.3">
      <c r="A5" s="13" t="s">
        <v>15</v>
      </c>
      <c r="B5" s="8" t="s">
        <v>16</v>
      </c>
      <c r="C5" s="8">
        <v>4.7</v>
      </c>
      <c r="D5" s="11">
        <v>21424</v>
      </c>
      <c r="E5" s="9">
        <v>6</v>
      </c>
      <c r="F5" s="8">
        <v>2017</v>
      </c>
      <c r="G5" s="8" t="s">
        <v>12</v>
      </c>
      <c r="M5" s="33" t="s">
        <v>16</v>
      </c>
      <c r="O5" s="32">
        <f t="shared" si="0"/>
        <v>21424</v>
      </c>
    </row>
    <row r="6" spans="1:17" x14ac:dyDescent="0.3">
      <c r="A6" s="13" t="s">
        <v>17</v>
      </c>
      <c r="B6" s="8" t="s">
        <v>18</v>
      </c>
      <c r="C6" s="8">
        <v>4.8</v>
      </c>
      <c r="D6" s="11">
        <v>7665</v>
      </c>
      <c r="E6" s="9">
        <v>12</v>
      </c>
      <c r="F6" s="8">
        <v>2019</v>
      </c>
      <c r="G6" s="8" t="s">
        <v>9</v>
      </c>
      <c r="H6" s="34"/>
      <c r="M6" s="33" t="s">
        <v>18</v>
      </c>
      <c r="O6" s="32">
        <f t="shared" si="0"/>
        <v>7665</v>
      </c>
    </row>
    <row r="7" spans="1:17" x14ac:dyDescent="0.3">
      <c r="A7" s="13" t="s">
        <v>19</v>
      </c>
      <c r="B7" s="8" t="s">
        <v>20</v>
      </c>
      <c r="C7" s="8">
        <v>4.4000000000000004</v>
      </c>
      <c r="D7" s="11">
        <v>12643</v>
      </c>
      <c r="E7" s="9">
        <v>11</v>
      </c>
      <c r="F7" s="8">
        <v>2011</v>
      </c>
      <c r="G7" s="8" t="s">
        <v>12</v>
      </c>
      <c r="M7" s="33" t="s">
        <v>20</v>
      </c>
      <c r="O7" s="32">
        <f t="shared" si="0"/>
        <v>32378</v>
      </c>
    </row>
    <row r="8" spans="1:17" x14ac:dyDescent="0.3">
      <c r="A8" s="13" t="s">
        <v>21</v>
      </c>
      <c r="B8" s="8" t="s">
        <v>20</v>
      </c>
      <c r="C8" s="8">
        <v>4.7</v>
      </c>
      <c r="D8" s="11">
        <v>19735</v>
      </c>
      <c r="E8" s="9">
        <v>30</v>
      </c>
      <c r="F8" s="8">
        <v>2014</v>
      </c>
      <c r="G8" s="8" t="s">
        <v>12</v>
      </c>
      <c r="M8" s="33" t="s">
        <v>23</v>
      </c>
      <c r="O8" s="32">
        <f t="shared" si="0"/>
        <v>19699</v>
      </c>
    </row>
    <row r="9" spans="1:17" x14ac:dyDescent="0.3">
      <c r="A9" s="13" t="s">
        <v>22</v>
      </c>
      <c r="B9" s="8" t="s">
        <v>23</v>
      </c>
      <c r="C9" s="8">
        <v>4.7</v>
      </c>
      <c r="D9" s="11">
        <v>19699</v>
      </c>
      <c r="E9" s="9">
        <v>15</v>
      </c>
      <c r="F9" s="8">
        <v>2017</v>
      </c>
      <c r="G9" s="8" t="s">
        <v>12</v>
      </c>
      <c r="M9" s="33" t="s">
        <v>25</v>
      </c>
      <c r="O9" s="32">
        <f t="shared" si="0"/>
        <v>5983</v>
      </c>
    </row>
    <row r="10" spans="1:17" x14ac:dyDescent="0.3">
      <c r="A10" s="13" t="s">
        <v>24</v>
      </c>
      <c r="B10" s="8" t="s">
        <v>25</v>
      </c>
      <c r="C10" s="8">
        <v>4.7</v>
      </c>
      <c r="D10" s="11">
        <v>5983</v>
      </c>
      <c r="E10" s="9">
        <v>3</v>
      </c>
      <c r="F10" s="8">
        <v>2018</v>
      </c>
      <c r="G10" s="8" t="s">
        <v>9</v>
      </c>
      <c r="M10" s="33" t="s">
        <v>27</v>
      </c>
      <c r="O10" s="32">
        <f t="shared" si="0"/>
        <v>47696</v>
      </c>
    </row>
    <row r="11" spans="1:17" x14ac:dyDescent="0.3">
      <c r="A11" s="13" t="s">
        <v>26</v>
      </c>
      <c r="B11" s="8" t="s">
        <v>27</v>
      </c>
      <c r="C11" s="8">
        <v>4.5999999999999996</v>
      </c>
      <c r="D11" s="11">
        <v>23848</v>
      </c>
      <c r="E11" s="9">
        <v>8</v>
      </c>
      <c r="F11" s="8">
        <v>2016</v>
      </c>
      <c r="G11" s="8" t="s">
        <v>12</v>
      </c>
      <c r="K11" s="34"/>
      <c r="M11" s="33" t="s">
        <v>29</v>
      </c>
      <c r="O11" s="32">
        <f t="shared" si="0"/>
        <v>460</v>
      </c>
    </row>
    <row r="12" spans="1:17" x14ac:dyDescent="0.3">
      <c r="A12" s="13" t="s">
        <v>26</v>
      </c>
      <c r="B12" s="8" t="s">
        <v>27</v>
      </c>
      <c r="C12" s="8">
        <v>4.5999999999999996</v>
      </c>
      <c r="D12" s="11">
        <v>23848</v>
      </c>
      <c r="E12" s="9">
        <v>8</v>
      </c>
      <c r="F12" s="8">
        <v>2017</v>
      </c>
      <c r="G12" s="8" t="s">
        <v>12</v>
      </c>
      <c r="M12" s="33" t="s">
        <v>31</v>
      </c>
      <c r="O12" s="32">
        <f t="shared" si="0"/>
        <v>4149</v>
      </c>
    </row>
    <row r="13" spans="1:17" x14ac:dyDescent="0.3">
      <c r="A13" s="13" t="s">
        <v>28</v>
      </c>
      <c r="B13" s="8" t="s">
        <v>29</v>
      </c>
      <c r="C13" s="8">
        <v>4.5999999999999996</v>
      </c>
      <c r="D13" s="11">
        <v>460</v>
      </c>
      <c r="E13" s="9">
        <v>2</v>
      </c>
      <c r="F13" s="8">
        <v>2010</v>
      </c>
      <c r="G13" s="8" t="s">
        <v>9</v>
      </c>
      <c r="M13" s="33" t="s">
        <v>33</v>
      </c>
      <c r="O13" s="32">
        <f t="shared" si="0"/>
        <v>5153</v>
      </c>
    </row>
    <row r="14" spans="1:17" x14ac:dyDescent="0.3">
      <c r="A14" s="13" t="s">
        <v>30</v>
      </c>
      <c r="B14" s="8" t="s">
        <v>31</v>
      </c>
      <c r="C14" s="8">
        <v>4.5999999999999996</v>
      </c>
      <c r="D14" s="11">
        <v>4149</v>
      </c>
      <c r="E14" s="9">
        <v>32</v>
      </c>
      <c r="F14" s="8">
        <v>2011</v>
      </c>
      <c r="G14" s="8" t="s">
        <v>9</v>
      </c>
      <c r="M14" s="33" t="s">
        <v>35</v>
      </c>
      <c r="O14" s="32">
        <f t="shared" si="0"/>
        <v>5013</v>
      </c>
    </row>
    <row r="15" spans="1:17" x14ac:dyDescent="0.3">
      <c r="A15" s="13" t="s">
        <v>32</v>
      </c>
      <c r="B15" s="8" t="s">
        <v>33</v>
      </c>
      <c r="C15" s="8">
        <v>4.5</v>
      </c>
      <c r="D15" s="11">
        <v>5153</v>
      </c>
      <c r="E15" s="9">
        <v>5</v>
      </c>
      <c r="F15" s="8">
        <v>2018</v>
      </c>
      <c r="G15" s="8" t="s">
        <v>12</v>
      </c>
      <c r="M15" s="33" t="s">
        <v>37</v>
      </c>
      <c r="O15" s="32">
        <f t="shared" si="0"/>
        <v>2313</v>
      </c>
    </row>
    <row r="16" spans="1:17" x14ac:dyDescent="0.3">
      <c r="A16" s="13" t="s">
        <v>34</v>
      </c>
      <c r="B16" s="8" t="s">
        <v>35</v>
      </c>
      <c r="C16" s="8">
        <v>4.5999999999999996</v>
      </c>
      <c r="D16" s="11">
        <v>5013</v>
      </c>
      <c r="E16" s="9">
        <v>17</v>
      </c>
      <c r="F16" s="8">
        <v>2009</v>
      </c>
      <c r="G16" s="8" t="s">
        <v>9</v>
      </c>
      <c r="M16" s="33" t="s">
        <v>39</v>
      </c>
      <c r="O16" s="32">
        <f t="shared" si="0"/>
        <v>5876</v>
      </c>
    </row>
    <row r="17" spans="1:15" x14ac:dyDescent="0.3">
      <c r="A17" s="13" t="s">
        <v>36</v>
      </c>
      <c r="B17" s="8" t="s">
        <v>37</v>
      </c>
      <c r="C17" s="8">
        <v>4.5</v>
      </c>
      <c r="D17" s="11">
        <v>2313</v>
      </c>
      <c r="E17" s="9">
        <v>4</v>
      </c>
      <c r="F17" s="8">
        <v>2016</v>
      </c>
      <c r="G17" s="8" t="s">
        <v>9</v>
      </c>
      <c r="M17" s="33" t="s">
        <v>42</v>
      </c>
      <c r="O17" s="32">
        <f t="shared" si="0"/>
        <v>2426</v>
      </c>
    </row>
    <row r="18" spans="1:15" x14ac:dyDescent="0.3">
      <c r="A18" s="13" t="s">
        <v>38</v>
      </c>
      <c r="B18" s="8" t="s">
        <v>39</v>
      </c>
      <c r="C18" s="8">
        <v>4.5999999999999996</v>
      </c>
      <c r="D18" s="11">
        <v>2925</v>
      </c>
      <c r="E18" s="9">
        <v>6</v>
      </c>
      <c r="F18" s="8">
        <v>2015</v>
      </c>
      <c r="G18" s="8" t="s">
        <v>9</v>
      </c>
      <c r="M18" s="33" t="s">
        <v>44</v>
      </c>
      <c r="O18" s="32">
        <f t="shared" si="0"/>
        <v>9198</v>
      </c>
    </row>
    <row r="19" spans="1:15" x14ac:dyDescent="0.3">
      <c r="A19" s="13" t="s">
        <v>40</v>
      </c>
      <c r="B19" s="8" t="s">
        <v>39</v>
      </c>
      <c r="C19" s="8">
        <v>4.4000000000000004</v>
      </c>
      <c r="D19" s="11">
        <v>2951</v>
      </c>
      <c r="E19" s="9">
        <v>6</v>
      </c>
      <c r="F19" s="8">
        <v>2015</v>
      </c>
      <c r="G19" s="8" t="s">
        <v>9</v>
      </c>
      <c r="M19" s="33" t="s">
        <v>46</v>
      </c>
      <c r="O19" s="32">
        <f t="shared" si="0"/>
        <v>72696</v>
      </c>
    </row>
    <row r="20" spans="1:15" x14ac:dyDescent="0.3">
      <c r="A20" s="13" t="s">
        <v>41</v>
      </c>
      <c r="B20" s="8" t="s">
        <v>42</v>
      </c>
      <c r="C20" s="8">
        <v>4.5</v>
      </c>
      <c r="D20" s="11">
        <v>2426</v>
      </c>
      <c r="E20" s="9">
        <v>8</v>
      </c>
      <c r="F20" s="8">
        <v>2015</v>
      </c>
      <c r="G20" s="8" t="s">
        <v>9</v>
      </c>
      <c r="M20" s="33" t="s">
        <v>48</v>
      </c>
      <c r="O20" s="32">
        <f t="shared" si="0"/>
        <v>78190</v>
      </c>
    </row>
    <row r="21" spans="1:15" x14ac:dyDescent="0.3">
      <c r="A21" s="13" t="s">
        <v>43</v>
      </c>
      <c r="B21" s="8" t="s">
        <v>44</v>
      </c>
      <c r="C21" s="8">
        <v>4.8</v>
      </c>
      <c r="D21" s="11">
        <v>9198</v>
      </c>
      <c r="E21" s="9">
        <v>13</v>
      </c>
      <c r="F21" s="8">
        <v>2016</v>
      </c>
      <c r="G21" s="8" t="s">
        <v>9</v>
      </c>
      <c r="M21" s="33" t="s">
        <v>50</v>
      </c>
      <c r="O21" s="32">
        <f t="shared" si="0"/>
        <v>15921</v>
      </c>
    </row>
    <row r="22" spans="1:15" x14ac:dyDescent="0.3">
      <c r="A22" s="13" t="s">
        <v>45</v>
      </c>
      <c r="B22" s="8" t="s">
        <v>46</v>
      </c>
      <c r="C22" s="8">
        <v>4.5999999999999996</v>
      </c>
      <c r="D22" s="11">
        <v>36348</v>
      </c>
      <c r="E22" s="9">
        <v>14</v>
      </c>
      <c r="F22" s="8">
        <v>2014</v>
      </c>
      <c r="G22" s="8" t="s">
        <v>12</v>
      </c>
      <c r="M22" s="33" t="s">
        <v>52</v>
      </c>
      <c r="O22" s="32">
        <f t="shared" si="0"/>
        <v>12159</v>
      </c>
    </row>
    <row r="23" spans="1:15" x14ac:dyDescent="0.3">
      <c r="A23" s="13" t="s">
        <v>45</v>
      </c>
      <c r="B23" s="8" t="s">
        <v>46</v>
      </c>
      <c r="C23" s="8">
        <v>4.5999999999999996</v>
      </c>
      <c r="D23" s="11">
        <v>36348</v>
      </c>
      <c r="E23" s="9">
        <v>14</v>
      </c>
      <c r="F23" s="8">
        <v>2015</v>
      </c>
      <c r="G23" s="8" t="s">
        <v>12</v>
      </c>
      <c r="M23" s="33" t="s">
        <v>54</v>
      </c>
      <c r="O23" s="32">
        <f t="shared" si="0"/>
        <v>2634</v>
      </c>
    </row>
    <row r="24" spans="1:15" x14ac:dyDescent="0.3">
      <c r="A24" s="13" t="s">
        <v>47</v>
      </c>
      <c r="B24" s="8" t="s">
        <v>48</v>
      </c>
      <c r="C24" s="8">
        <v>3.9</v>
      </c>
      <c r="D24" s="11">
        <v>6310</v>
      </c>
      <c r="E24" s="9">
        <v>13</v>
      </c>
      <c r="F24" s="8">
        <v>2013</v>
      </c>
      <c r="G24" s="8" t="s">
        <v>12</v>
      </c>
      <c r="M24" s="33" t="s">
        <v>56</v>
      </c>
      <c r="O24" s="32">
        <f t="shared" si="0"/>
        <v>9374</v>
      </c>
    </row>
    <row r="25" spans="1:15" x14ac:dyDescent="0.3">
      <c r="A25" s="13" t="s">
        <v>49</v>
      </c>
      <c r="B25" s="8" t="s">
        <v>50</v>
      </c>
      <c r="C25" s="8">
        <v>4.5999999999999996</v>
      </c>
      <c r="D25" s="11">
        <v>15921</v>
      </c>
      <c r="E25" s="9">
        <v>9</v>
      </c>
      <c r="F25" s="8">
        <v>2015</v>
      </c>
      <c r="G25" s="8" t="s">
        <v>9</v>
      </c>
      <c r="M25" s="33" t="s">
        <v>58</v>
      </c>
      <c r="O25" s="32">
        <f t="shared" si="0"/>
        <v>491</v>
      </c>
    </row>
    <row r="26" spans="1:15" x14ac:dyDescent="0.3">
      <c r="A26" s="13" t="s">
        <v>51</v>
      </c>
      <c r="B26" s="8" t="s">
        <v>52</v>
      </c>
      <c r="C26" s="8">
        <v>4.3</v>
      </c>
      <c r="D26" s="11">
        <v>12159</v>
      </c>
      <c r="E26" s="9">
        <v>13</v>
      </c>
      <c r="F26" s="8">
        <v>2013</v>
      </c>
      <c r="G26" s="8" t="s">
        <v>12</v>
      </c>
      <c r="M26" s="33" t="s">
        <v>60</v>
      </c>
      <c r="O26" s="32">
        <f t="shared" si="0"/>
        <v>7946</v>
      </c>
    </row>
    <row r="27" spans="1:15" x14ac:dyDescent="0.3">
      <c r="A27" s="13" t="s">
        <v>53</v>
      </c>
      <c r="B27" s="8" t="s">
        <v>54</v>
      </c>
      <c r="C27" s="8">
        <v>4.5999999999999996</v>
      </c>
      <c r="D27" s="11">
        <v>798</v>
      </c>
      <c r="E27" s="9">
        <v>5</v>
      </c>
      <c r="F27" s="8">
        <v>2009</v>
      </c>
      <c r="G27" s="8" t="s">
        <v>9</v>
      </c>
      <c r="M27" s="33" t="s">
        <v>62</v>
      </c>
      <c r="O27" s="32">
        <f t="shared" si="0"/>
        <v>1909</v>
      </c>
    </row>
    <row r="28" spans="1:15" x14ac:dyDescent="0.3">
      <c r="A28" s="13" t="s">
        <v>55</v>
      </c>
      <c r="B28" s="8" t="s">
        <v>56</v>
      </c>
      <c r="C28" s="8">
        <v>4.7</v>
      </c>
      <c r="D28" s="11">
        <v>9374</v>
      </c>
      <c r="E28" s="9">
        <v>9</v>
      </c>
      <c r="F28" s="8">
        <v>2017</v>
      </c>
      <c r="G28" s="8" t="s">
        <v>9</v>
      </c>
      <c r="M28" s="33" t="s">
        <v>64</v>
      </c>
      <c r="O28" s="32">
        <f t="shared" si="0"/>
        <v>3297</v>
      </c>
    </row>
    <row r="29" spans="1:15" x14ac:dyDescent="0.3">
      <c r="A29" s="13" t="s">
        <v>57</v>
      </c>
      <c r="B29" s="8" t="s">
        <v>58</v>
      </c>
      <c r="C29" s="8">
        <v>4.2</v>
      </c>
      <c r="D29" s="11">
        <v>491</v>
      </c>
      <c r="E29" s="9">
        <v>14</v>
      </c>
      <c r="F29" s="8">
        <v>2010</v>
      </c>
      <c r="G29" s="8" t="s">
        <v>9</v>
      </c>
      <c r="M29" s="33" t="s">
        <v>67</v>
      </c>
      <c r="O29" s="32">
        <f t="shared" si="0"/>
        <v>122266</v>
      </c>
    </row>
    <row r="30" spans="1:15" x14ac:dyDescent="0.3">
      <c r="A30" s="13" t="s">
        <v>59</v>
      </c>
      <c r="B30" s="8" t="s">
        <v>60</v>
      </c>
      <c r="C30" s="8">
        <v>4.5999999999999996</v>
      </c>
      <c r="D30" s="11">
        <v>5360</v>
      </c>
      <c r="E30" s="9">
        <v>5</v>
      </c>
      <c r="F30" s="8">
        <v>2015</v>
      </c>
      <c r="G30" s="8" t="s">
        <v>9</v>
      </c>
      <c r="M30" s="33" t="s">
        <v>69</v>
      </c>
      <c r="O30" s="32">
        <f t="shared" si="0"/>
        <v>11113</v>
      </c>
    </row>
    <row r="31" spans="1:15" x14ac:dyDescent="0.3">
      <c r="A31" s="13" t="s">
        <v>61</v>
      </c>
      <c r="B31" s="8" t="s">
        <v>62</v>
      </c>
      <c r="C31" s="8">
        <v>4.5999999999999996</v>
      </c>
      <c r="D31" s="11">
        <v>1909</v>
      </c>
      <c r="E31" s="9">
        <v>11</v>
      </c>
      <c r="F31" s="8">
        <v>2015</v>
      </c>
      <c r="G31" s="8" t="s">
        <v>9</v>
      </c>
      <c r="M31" s="33" t="s">
        <v>71</v>
      </c>
      <c r="O31" s="32">
        <f t="shared" si="0"/>
        <v>20140</v>
      </c>
    </row>
    <row r="32" spans="1:15" x14ac:dyDescent="0.3">
      <c r="A32" s="13" t="s">
        <v>63</v>
      </c>
      <c r="B32" s="8" t="s">
        <v>64</v>
      </c>
      <c r="C32" s="8">
        <v>4.8</v>
      </c>
      <c r="D32" s="11">
        <v>1296</v>
      </c>
      <c r="E32" s="9">
        <v>24</v>
      </c>
      <c r="F32" s="8">
        <v>2012</v>
      </c>
      <c r="G32" s="8" t="s">
        <v>9</v>
      </c>
      <c r="M32" s="33" t="s">
        <v>73</v>
      </c>
      <c r="O32" s="32">
        <f t="shared" si="0"/>
        <v>3729</v>
      </c>
    </row>
    <row r="33" spans="1:15" x14ac:dyDescent="0.3">
      <c r="A33" s="13" t="s">
        <v>65</v>
      </c>
      <c r="B33" s="8" t="s">
        <v>64</v>
      </c>
      <c r="C33" s="8">
        <v>4.7</v>
      </c>
      <c r="D33" s="11">
        <v>615</v>
      </c>
      <c r="E33" s="9">
        <v>21</v>
      </c>
      <c r="F33" s="8">
        <v>2010</v>
      </c>
      <c r="G33" s="8" t="s">
        <v>9</v>
      </c>
      <c r="M33" s="33" t="s">
        <v>75</v>
      </c>
      <c r="O33" s="32">
        <f t="shared" si="0"/>
        <v>44058</v>
      </c>
    </row>
    <row r="34" spans="1:15" x14ac:dyDescent="0.3">
      <c r="A34" s="13" t="s">
        <v>66</v>
      </c>
      <c r="B34" s="8" t="s">
        <v>67</v>
      </c>
      <c r="C34" s="8">
        <v>4.8</v>
      </c>
      <c r="D34" s="11">
        <v>61133</v>
      </c>
      <c r="E34" s="9">
        <v>11</v>
      </c>
      <c r="F34" s="8">
        <v>2018</v>
      </c>
      <c r="G34" s="8" t="s">
        <v>9</v>
      </c>
      <c r="M34" s="33" t="s">
        <v>78</v>
      </c>
      <c r="O34" s="32">
        <f t="shared" si="0"/>
        <v>28688</v>
      </c>
    </row>
    <row r="35" spans="1:15" x14ac:dyDescent="0.3">
      <c r="A35" s="13" t="s">
        <v>66</v>
      </c>
      <c r="B35" s="8" t="s">
        <v>67</v>
      </c>
      <c r="C35" s="8">
        <v>4.8</v>
      </c>
      <c r="D35" s="11">
        <v>61133</v>
      </c>
      <c r="E35" s="9">
        <v>11</v>
      </c>
      <c r="F35" s="8">
        <v>2019</v>
      </c>
      <c r="G35" s="8" t="s">
        <v>9</v>
      </c>
      <c r="M35" s="33" t="s">
        <v>80</v>
      </c>
      <c r="O35" s="32">
        <f t="shared" si="0"/>
        <v>67482</v>
      </c>
    </row>
    <row r="36" spans="1:15" x14ac:dyDescent="0.3">
      <c r="A36" s="13" t="s">
        <v>68</v>
      </c>
      <c r="B36" s="8" t="s">
        <v>69</v>
      </c>
      <c r="C36" s="8">
        <v>4.8</v>
      </c>
      <c r="D36" s="11">
        <v>11113</v>
      </c>
      <c r="E36" s="9">
        <v>15</v>
      </c>
      <c r="F36" s="8">
        <v>2015</v>
      </c>
      <c r="G36" s="8" t="s">
        <v>9</v>
      </c>
      <c r="M36" s="33" t="s">
        <v>82</v>
      </c>
      <c r="O36" s="32">
        <f t="shared" si="0"/>
        <v>10369</v>
      </c>
    </row>
    <row r="37" spans="1:15" x14ac:dyDescent="0.3">
      <c r="A37" s="13" t="s">
        <v>70</v>
      </c>
      <c r="B37" s="8" t="s">
        <v>71</v>
      </c>
      <c r="C37" s="8">
        <v>4.7</v>
      </c>
      <c r="D37" s="11">
        <v>10070</v>
      </c>
      <c r="E37" s="9">
        <v>13</v>
      </c>
      <c r="F37" s="8">
        <v>2015</v>
      </c>
      <c r="G37" s="8" t="s">
        <v>9</v>
      </c>
      <c r="M37" s="33" t="s">
        <v>84</v>
      </c>
      <c r="O37" s="32">
        <f t="shared" si="0"/>
        <v>16244</v>
      </c>
    </row>
    <row r="38" spans="1:15" x14ac:dyDescent="0.3">
      <c r="A38" s="13" t="s">
        <v>70</v>
      </c>
      <c r="B38" s="8" t="s">
        <v>71</v>
      </c>
      <c r="C38" s="8">
        <v>4.7</v>
      </c>
      <c r="D38" s="11">
        <v>10070</v>
      </c>
      <c r="E38" s="9">
        <v>13</v>
      </c>
      <c r="F38" s="8">
        <v>2016</v>
      </c>
      <c r="G38" s="8" t="s">
        <v>9</v>
      </c>
      <c r="I38" s="32" t="e" cm="1">
        <f t="array" ref="I38">I2s</f>
        <v>#NAME?</v>
      </c>
      <c r="M38" s="33" t="s">
        <v>86</v>
      </c>
      <c r="O38" s="32">
        <f t="shared" si="0"/>
        <v>2884</v>
      </c>
    </row>
    <row r="39" spans="1:15" x14ac:dyDescent="0.3">
      <c r="A39" s="13" t="s">
        <v>72</v>
      </c>
      <c r="B39" s="8" t="s">
        <v>73</v>
      </c>
      <c r="C39" s="8">
        <v>4.7</v>
      </c>
      <c r="D39" s="11">
        <v>3729</v>
      </c>
      <c r="E39" s="9">
        <v>18</v>
      </c>
      <c r="F39" s="8">
        <v>2016</v>
      </c>
      <c r="G39" s="8" t="s">
        <v>9</v>
      </c>
      <c r="M39" s="33" t="s">
        <v>88</v>
      </c>
      <c r="O39" s="32">
        <f t="shared" si="0"/>
        <v>278329</v>
      </c>
    </row>
    <row r="40" spans="1:15" x14ac:dyDescent="0.3">
      <c r="A40" s="13" t="s">
        <v>74</v>
      </c>
      <c r="B40" s="8" t="s">
        <v>75</v>
      </c>
      <c r="C40" s="8">
        <v>4.5999999999999996</v>
      </c>
      <c r="D40" s="11">
        <v>9769</v>
      </c>
      <c r="E40" s="9">
        <v>13</v>
      </c>
      <c r="F40" s="8">
        <v>2009</v>
      </c>
      <c r="G40" s="8" t="s">
        <v>12</v>
      </c>
      <c r="M40" s="33" t="s">
        <v>90</v>
      </c>
      <c r="O40" s="32">
        <f t="shared" si="0"/>
        <v>4761</v>
      </c>
    </row>
    <row r="41" spans="1:15" x14ac:dyDescent="0.3">
      <c r="A41" s="13" t="s">
        <v>76</v>
      </c>
      <c r="B41" s="8" t="s">
        <v>54</v>
      </c>
      <c r="C41" s="8">
        <v>4.5</v>
      </c>
      <c r="D41" s="11">
        <v>471</v>
      </c>
      <c r="E41" s="9">
        <v>8</v>
      </c>
      <c r="F41" s="8">
        <v>2010</v>
      </c>
      <c r="G41" s="8" t="s">
        <v>9</v>
      </c>
      <c r="M41" s="33" t="s">
        <v>92</v>
      </c>
      <c r="O41" s="32">
        <f t="shared" si="0"/>
        <v>4626</v>
      </c>
    </row>
    <row r="42" spans="1:15" x14ac:dyDescent="0.3">
      <c r="A42" s="13" t="s">
        <v>77</v>
      </c>
      <c r="B42" s="8" t="s">
        <v>78</v>
      </c>
      <c r="C42" s="8">
        <v>4.9000000000000004</v>
      </c>
      <c r="D42" s="11">
        <v>14344</v>
      </c>
      <c r="E42" s="9">
        <v>5</v>
      </c>
      <c r="F42" s="8">
        <v>2017</v>
      </c>
      <c r="G42" s="8" t="s">
        <v>12</v>
      </c>
      <c r="M42" s="33" t="s">
        <v>94</v>
      </c>
      <c r="O42" s="32">
        <f t="shared" si="0"/>
        <v>6143</v>
      </c>
    </row>
    <row r="43" spans="1:15" x14ac:dyDescent="0.3">
      <c r="A43" s="13" t="s">
        <v>77</v>
      </c>
      <c r="B43" s="8" t="s">
        <v>78</v>
      </c>
      <c r="C43" s="8">
        <v>4.9000000000000004</v>
      </c>
      <c r="D43" s="11">
        <v>14344</v>
      </c>
      <c r="E43" s="9">
        <v>5</v>
      </c>
      <c r="F43" s="8">
        <v>2019</v>
      </c>
      <c r="G43" s="8" t="s">
        <v>12</v>
      </c>
      <c r="M43" s="33" t="s">
        <v>96</v>
      </c>
      <c r="O43" s="32">
        <f t="shared" si="0"/>
        <v>7893</v>
      </c>
    </row>
    <row r="44" spans="1:15" x14ac:dyDescent="0.3">
      <c r="A44" s="13" t="s">
        <v>79</v>
      </c>
      <c r="B44" s="8" t="s">
        <v>80</v>
      </c>
      <c r="C44" s="8">
        <v>4.8</v>
      </c>
      <c r="D44" s="11">
        <v>4505</v>
      </c>
      <c r="E44" s="9">
        <v>11</v>
      </c>
      <c r="F44" s="8">
        <v>2011</v>
      </c>
      <c r="G44" s="8" t="s">
        <v>12</v>
      </c>
      <c r="M44" s="33" t="s">
        <v>99</v>
      </c>
      <c r="O44" s="32">
        <f t="shared" si="0"/>
        <v>9732</v>
      </c>
    </row>
    <row r="45" spans="1:15" x14ac:dyDescent="0.3">
      <c r="A45" s="13" t="s">
        <v>81</v>
      </c>
      <c r="B45" s="8" t="s">
        <v>82</v>
      </c>
      <c r="C45" s="8">
        <v>4.5999999999999996</v>
      </c>
      <c r="D45" s="11">
        <v>10369</v>
      </c>
      <c r="E45" s="9">
        <v>4</v>
      </c>
      <c r="F45" s="8">
        <v>2016</v>
      </c>
      <c r="G45" s="8" t="s">
        <v>9</v>
      </c>
      <c r="M45" s="33" t="s">
        <v>101</v>
      </c>
      <c r="O45" s="32">
        <f t="shared" si="0"/>
        <v>1329</v>
      </c>
    </row>
    <row r="46" spans="1:15" x14ac:dyDescent="0.3">
      <c r="A46" s="13" t="s">
        <v>83</v>
      </c>
      <c r="B46" s="8" t="s">
        <v>84</v>
      </c>
      <c r="C46" s="8">
        <v>4.8</v>
      </c>
      <c r="D46" s="11">
        <v>16244</v>
      </c>
      <c r="E46" s="9">
        <v>18</v>
      </c>
      <c r="F46" s="8">
        <v>2019</v>
      </c>
      <c r="G46" s="8" t="s">
        <v>9</v>
      </c>
      <c r="M46" s="33" t="s">
        <v>103</v>
      </c>
      <c r="O46" s="32">
        <f t="shared" si="0"/>
        <v>28997</v>
      </c>
    </row>
    <row r="47" spans="1:15" x14ac:dyDescent="0.3">
      <c r="A47" s="13" t="s">
        <v>85</v>
      </c>
      <c r="B47" s="8" t="s">
        <v>86</v>
      </c>
      <c r="C47" s="8">
        <v>4.5</v>
      </c>
      <c r="D47" s="11">
        <v>2884</v>
      </c>
      <c r="E47" s="9">
        <v>28</v>
      </c>
      <c r="F47" s="8">
        <v>2014</v>
      </c>
      <c r="G47" s="8" t="s">
        <v>9</v>
      </c>
      <c r="M47" s="33" t="s">
        <v>105</v>
      </c>
      <c r="O47" s="32">
        <f t="shared" si="0"/>
        <v>6532</v>
      </c>
    </row>
    <row r="48" spans="1:15" x14ac:dyDescent="0.3">
      <c r="A48" s="13" t="s">
        <v>87</v>
      </c>
      <c r="B48" s="8" t="s">
        <v>88</v>
      </c>
      <c r="C48" s="8">
        <v>4.7</v>
      </c>
      <c r="D48" s="11">
        <v>22614</v>
      </c>
      <c r="E48" s="9">
        <v>11</v>
      </c>
      <c r="F48" s="8">
        <v>2010</v>
      </c>
      <c r="G48" s="8" t="s">
        <v>12</v>
      </c>
      <c r="M48" s="33" t="s">
        <v>109</v>
      </c>
      <c r="O48" s="32">
        <f t="shared" si="0"/>
        <v>43688</v>
      </c>
    </row>
    <row r="49" spans="1:15" x14ac:dyDescent="0.3">
      <c r="A49" s="13" t="s">
        <v>87</v>
      </c>
      <c r="B49" s="8" t="s">
        <v>88</v>
      </c>
      <c r="C49" s="8">
        <v>4.7</v>
      </c>
      <c r="D49" s="11">
        <v>22614</v>
      </c>
      <c r="E49" s="9">
        <v>11</v>
      </c>
      <c r="F49" s="8">
        <v>2011</v>
      </c>
      <c r="G49" s="8" t="s">
        <v>12</v>
      </c>
      <c r="M49" s="33" t="s">
        <v>111</v>
      </c>
      <c r="O49" s="32">
        <f t="shared" si="0"/>
        <v>2137</v>
      </c>
    </row>
    <row r="50" spans="1:15" x14ac:dyDescent="0.3">
      <c r="A50" s="13" t="s">
        <v>87</v>
      </c>
      <c r="B50" s="8" t="s">
        <v>88</v>
      </c>
      <c r="C50" s="8">
        <v>4.7</v>
      </c>
      <c r="D50" s="11">
        <v>22614</v>
      </c>
      <c r="E50" s="9">
        <v>11</v>
      </c>
      <c r="F50" s="8">
        <v>2012</v>
      </c>
      <c r="G50" s="8" t="s">
        <v>12</v>
      </c>
      <c r="M50" s="33" t="s">
        <v>113</v>
      </c>
      <c r="O50" s="32">
        <f t="shared" si="0"/>
        <v>1651</v>
      </c>
    </row>
    <row r="51" spans="1:15" x14ac:dyDescent="0.3">
      <c r="A51" s="13" t="s">
        <v>89</v>
      </c>
      <c r="B51" s="8" t="s">
        <v>90</v>
      </c>
      <c r="C51" s="8">
        <v>4.7</v>
      </c>
      <c r="D51" s="11">
        <v>4761</v>
      </c>
      <c r="E51" s="9">
        <v>16</v>
      </c>
      <c r="F51" s="8">
        <v>2016</v>
      </c>
      <c r="G51" s="8" t="s">
        <v>9</v>
      </c>
      <c r="M51" s="33" t="s">
        <v>115</v>
      </c>
      <c r="O51" s="32">
        <f t="shared" si="0"/>
        <v>13358</v>
      </c>
    </row>
    <row r="52" spans="1:15" x14ac:dyDescent="0.3">
      <c r="A52" s="13" t="s">
        <v>91</v>
      </c>
      <c r="B52" s="8" t="s">
        <v>92</v>
      </c>
      <c r="C52" s="8">
        <v>4.7</v>
      </c>
      <c r="D52" s="11">
        <v>1542</v>
      </c>
      <c r="E52" s="9">
        <v>14</v>
      </c>
      <c r="F52" s="8">
        <v>2009</v>
      </c>
      <c r="G52" s="8" t="s">
        <v>9</v>
      </c>
      <c r="M52" s="33" t="s">
        <v>120</v>
      </c>
      <c r="O52" s="32">
        <f t="shared" si="0"/>
        <v>7955</v>
      </c>
    </row>
    <row r="53" spans="1:15" x14ac:dyDescent="0.3">
      <c r="A53" s="13" t="s">
        <v>91</v>
      </c>
      <c r="B53" s="8" t="s">
        <v>92</v>
      </c>
      <c r="C53" s="8">
        <v>4.7</v>
      </c>
      <c r="D53" s="11">
        <v>1542</v>
      </c>
      <c r="E53" s="9">
        <v>14</v>
      </c>
      <c r="F53" s="8">
        <v>2010</v>
      </c>
      <c r="G53" s="8" t="s">
        <v>9</v>
      </c>
      <c r="M53" s="33" t="s">
        <v>124</v>
      </c>
      <c r="O53" s="32">
        <f t="shared" si="0"/>
        <v>257</v>
      </c>
    </row>
    <row r="54" spans="1:15" x14ac:dyDescent="0.3">
      <c r="A54" s="13" t="s">
        <v>91</v>
      </c>
      <c r="B54" s="8" t="s">
        <v>92</v>
      </c>
      <c r="C54" s="8">
        <v>4.7</v>
      </c>
      <c r="D54" s="11">
        <v>1542</v>
      </c>
      <c r="E54" s="9">
        <v>14</v>
      </c>
      <c r="F54" s="8">
        <v>2011</v>
      </c>
      <c r="G54" s="8" t="s">
        <v>9</v>
      </c>
      <c r="M54" s="33" t="s">
        <v>128</v>
      </c>
      <c r="O54" s="32">
        <f t="shared" si="0"/>
        <v>51496</v>
      </c>
    </row>
    <row r="55" spans="1:15" x14ac:dyDescent="0.3">
      <c r="A55" s="13" t="s">
        <v>93</v>
      </c>
      <c r="B55" s="8" t="s">
        <v>94</v>
      </c>
      <c r="C55" s="8">
        <v>4.3</v>
      </c>
      <c r="D55" s="11">
        <v>6143</v>
      </c>
      <c r="E55" s="9">
        <v>8</v>
      </c>
      <c r="F55" s="8">
        <v>2018</v>
      </c>
      <c r="G55" s="8" t="s">
        <v>12</v>
      </c>
      <c r="M55" s="33" t="s">
        <v>136</v>
      </c>
      <c r="O55" s="32">
        <f t="shared" si="0"/>
        <v>2134</v>
      </c>
    </row>
    <row r="56" spans="1:15" x14ac:dyDescent="0.3">
      <c r="A56" s="13" t="s">
        <v>95</v>
      </c>
      <c r="B56" s="8" t="s">
        <v>96</v>
      </c>
      <c r="C56" s="8">
        <v>4.8</v>
      </c>
      <c r="D56" s="11">
        <v>4022</v>
      </c>
      <c r="E56" s="9">
        <v>4</v>
      </c>
      <c r="F56" s="8">
        <v>2015</v>
      </c>
      <c r="G56" s="8" t="s">
        <v>9</v>
      </c>
      <c r="M56" s="33" t="s">
        <v>138</v>
      </c>
      <c r="O56" s="32">
        <f t="shared" si="0"/>
        <v>2525</v>
      </c>
    </row>
    <row r="57" spans="1:15" x14ac:dyDescent="0.3">
      <c r="A57" s="13" t="s">
        <v>97</v>
      </c>
      <c r="B57" s="8" t="s">
        <v>96</v>
      </c>
      <c r="C57" s="8">
        <v>4.8</v>
      </c>
      <c r="D57" s="11">
        <v>3871</v>
      </c>
      <c r="E57" s="9">
        <v>5</v>
      </c>
      <c r="F57" s="8">
        <v>2015</v>
      </c>
      <c r="G57" s="8" t="s">
        <v>9</v>
      </c>
      <c r="M57" s="33" t="s">
        <v>140</v>
      </c>
      <c r="O57" s="32">
        <f t="shared" si="0"/>
        <v>1676</v>
      </c>
    </row>
    <row r="58" spans="1:15" x14ac:dyDescent="0.3">
      <c r="A58" s="13" t="s">
        <v>98</v>
      </c>
      <c r="B58" s="8" t="s">
        <v>99</v>
      </c>
      <c r="C58" s="8">
        <v>4.5999999999999996</v>
      </c>
      <c r="D58" s="11">
        <v>4866</v>
      </c>
      <c r="E58" s="9">
        <v>11</v>
      </c>
      <c r="F58" s="8">
        <v>2010</v>
      </c>
      <c r="G58" s="8" t="s">
        <v>12</v>
      </c>
      <c r="M58" s="33" t="s">
        <v>143</v>
      </c>
      <c r="O58" s="32">
        <f t="shared" si="0"/>
        <v>12692</v>
      </c>
    </row>
    <row r="59" spans="1:15" x14ac:dyDescent="0.3">
      <c r="A59" s="13" t="s">
        <v>98</v>
      </c>
      <c r="B59" s="8" t="s">
        <v>99</v>
      </c>
      <c r="C59" s="8">
        <v>4.5999999999999996</v>
      </c>
      <c r="D59" s="11">
        <v>4866</v>
      </c>
      <c r="E59" s="9">
        <v>11</v>
      </c>
      <c r="F59" s="8">
        <v>2011</v>
      </c>
      <c r="G59" s="8" t="s">
        <v>12</v>
      </c>
      <c r="M59" s="33" t="s">
        <v>147</v>
      </c>
      <c r="O59" s="32">
        <f t="shared" si="0"/>
        <v>57458</v>
      </c>
    </row>
    <row r="60" spans="1:15" x14ac:dyDescent="0.3">
      <c r="A60" s="13" t="s">
        <v>100</v>
      </c>
      <c r="B60" s="8" t="s">
        <v>101</v>
      </c>
      <c r="C60" s="8">
        <v>4.8</v>
      </c>
      <c r="D60" s="11">
        <v>1329</v>
      </c>
      <c r="E60" s="9">
        <v>10</v>
      </c>
      <c r="F60" s="8">
        <v>2013</v>
      </c>
      <c r="G60" s="8" t="s">
        <v>9</v>
      </c>
      <c r="M60" s="33" t="s">
        <v>149</v>
      </c>
      <c r="O60" s="32">
        <f t="shared" si="0"/>
        <v>14779</v>
      </c>
    </row>
    <row r="61" spans="1:15" x14ac:dyDescent="0.3">
      <c r="A61" s="13" t="s">
        <v>102</v>
      </c>
      <c r="B61" s="8" t="s">
        <v>103</v>
      </c>
      <c r="C61" s="8">
        <v>4.4000000000000004</v>
      </c>
      <c r="D61" s="11">
        <v>4642</v>
      </c>
      <c r="E61" s="9">
        <v>13</v>
      </c>
      <c r="F61" s="8">
        <v>2013</v>
      </c>
      <c r="G61" s="8" t="s">
        <v>9</v>
      </c>
      <c r="M61" s="33" t="s">
        <v>151</v>
      </c>
      <c r="O61" s="32">
        <f t="shared" si="0"/>
        <v>21442</v>
      </c>
    </row>
    <row r="62" spans="1:15" x14ac:dyDescent="0.3">
      <c r="A62" s="13" t="s">
        <v>104</v>
      </c>
      <c r="B62" s="8" t="s">
        <v>105</v>
      </c>
      <c r="C62" s="8">
        <v>4.5999999999999996</v>
      </c>
      <c r="D62" s="11">
        <v>1541</v>
      </c>
      <c r="E62" s="9">
        <v>4</v>
      </c>
      <c r="F62" s="8">
        <v>2009</v>
      </c>
      <c r="G62" s="8" t="s">
        <v>12</v>
      </c>
      <c r="M62" s="33" t="s">
        <v>153</v>
      </c>
      <c r="O62" s="32">
        <f t="shared" si="0"/>
        <v>70535</v>
      </c>
    </row>
    <row r="63" spans="1:15" x14ac:dyDescent="0.3">
      <c r="A63" s="13" t="s">
        <v>106</v>
      </c>
      <c r="B63" s="8" t="s">
        <v>105</v>
      </c>
      <c r="C63" s="8">
        <v>4.3</v>
      </c>
      <c r="D63" s="11">
        <v>1924</v>
      </c>
      <c r="E63" s="9">
        <v>8</v>
      </c>
      <c r="F63" s="8">
        <v>2010</v>
      </c>
      <c r="G63" s="8" t="s">
        <v>12</v>
      </c>
      <c r="M63" s="33" t="s">
        <v>155</v>
      </c>
      <c r="O63" s="32">
        <f t="shared" si="0"/>
        <v>6042</v>
      </c>
    </row>
    <row r="64" spans="1:15" x14ac:dyDescent="0.3">
      <c r="A64" s="13" t="s">
        <v>107</v>
      </c>
      <c r="B64" s="8" t="s">
        <v>105</v>
      </c>
      <c r="C64" s="8">
        <v>4.2</v>
      </c>
      <c r="D64" s="11">
        <v>2094</v>
      </c>
      <c r="E64" s="9">
        <v>4</v>
      </c>
      <c r="F64" s="8">
        <v>2011</v>
      </c>
      <c r="G64" s="8" t="s">
        <v>12</v>
      </c>
      <c r="M64" s="33" t="s">
        <v>157</v>
      </c>
      <c r="O64" s="32">
        <f t="shared" si="0"/>
        <v>178011</v>
      </c>
    </row>
    <row r="65" spans="1:15" x14ac:dyDescent="0.3">
      <c r="A65" s="13" t="s">
        <v>108</v>
      </c>
      <c r="B65" s="8" t="s">
        <v>109</v>
      </c>
      <c r="C65" s="8">
        <v>4.8</v>
      </c>
      <c r="D65" s="11">
        <v>10922</v>
      </c>
      <c r="E65" s="9">
        <v>5</v>
      </c>
      <c r="F65" s="8">
        <v>2015</v>
      </c>
      <c r="G65" s="8" t="s">
        <v>12</v>
      </c>
      <c r="M65" s="33" t="s">
        <v>162</v>
      </c>
      <c r="O65" s="32">
        <f t="shared" si="0"/>
        <v>13677</v>
      </c>
    </row>
    <row r="66" spans="1:15" x14ac:dyDescent="0.3">
      <c r="A66" s="13" t="s">
        <v>108</v>
      </c>
      <c r="B66" s="8" t="s">
        <v>109</v>
      </c>
      <c r="C66" s="8">
        <v>4.8</v>
      </c>
      <c r="D66" s="11">
        <v>10922</v>
      </c>
      <c r="E66" s="9">
        <v>5</v>
      </c>
      <c r="F66" s="8">
        <v>2016</v>
      </c>
      <c r="G66" s="8" t="s">
        <v>12</v>
      </c>
      <c r="M66" s="33" t="s">
        <v>164</v>
      </c>
      <c r="O66" s="32">
        <f t="shared" si="0"/>
        <v>86615</v>
      </c>
    </row>
    <row r="67" spans="1:15" x14ac:dyDescent="0.3">
      <c r="A67" s="13" t="s">
        <v>108</v>
      </c>
      <c r="B67" s="8" t="s">
        <v>109</v>
      </c>
      <c r="C67" s="8">
        <v>4.8</v>
      </c>
      <c r="D67" s="11">
        <v>10922</v>
      </c>
      <c r="E67" s="9">
        <v>5</v>
      </c>
      <c r="F67" s="8">
        <v>2017</v>
      </c>
      <c r="G67" s="8" t="s">
        <v>12</v>
      </c>
      <c r="M67" s="33" t="s">
        <v>166</v>
      </c>
      <c r="O67" s="32">
        <f t="shared" ref="O67:O130" si="1">SUMIF(B:B,M67,D:D)</f>
        <v>1555</v>
      </c>
    </row>
    <row r="68" spans="1:15" x14ac:dyDescent="0.3">
      <c r="A68" s="13" t="s">
        <v>108</v>
      </c>
      <c r="B68" s="8" t="s">
        <v>109</v>
      </c>
      <c r="C68" s="8">
        <v>4.8</v>
      </c>
      <c r="D68" s="11">
        <v>10922</v>
      </c>
      <c r="E68" s="9">
        <v>5</v>
      </c>
      <c r="F68" s="8">
        <v>2018</v>
      </c>
      <c r="G68" s="8" t="s">
        <v>12</v>
      </c>
      <c r="M68" s="33" t="s">
        <v>168</v>
      </c>
      <c r="O68" s="32">
        <f t="shared" si="1"/>
        <v>4620</v>
      </c>
    </row>
    <row r="69" spans="1:15" x14ac:dyDescent="0.3">
      <c r="A69" s="13" t="s">
        <v>110</v>
      </c>
      <c r="B69" s="8" t="s">
        <v>111</v>
      </c>
      <c r="C69" s="8">
        <v>4.5999999999999996</v>
      </c>
      <c r="D69" s="11">
        <v>2137</v>
      </c>
      <c r="E69" s="9">
        <v>17</v>
      </c>
      <c r="F69" s="8">
        <v>2010</v>
      </c>
      <c r="G69" s="8" t="s">
        <v>9</v>
      </c>
      <c r="M69" s="33" t="s">
        <v>170</v>
      </c>
      <c r="O69" s="32">
        <f t="shared" si="1"/>
        <v>1215</v>
      </c>
    </row>
    <row r="70" spans="1:15" x14ac:dyDescent="0.3">
      <c r="A70" s="13" t="s">
        <v>112</v>
      </c>
      <c r="B70" s="8" t="s">
        <v>113</v>
      </c>
      <c r="C70" s="8">
        <v>4.5999999999999996</v>
      </c>
      <c r="D70" s="11">
        <v>1651</v>
      </c>
      <c r="E70" s="9">
        <v>15</v>
      </c>
      <c r="F70" s="8">
        <v>2010</v>
      </c>
      <c r="G70" s="8" t="s">
        <v>9</v>
      </c>
      <c r="M70" s="33" t="s">
        <v>172</v>
      </c>
      <c r="O70" s="32">
        <f t="shared" si="1"/>
        <v>16782</v>
      </c>
    </row>
    <row r="71" spans="1:15" x14ac:dyDescent="0.3">
      <c r="A71" s="13" t="s">
        <v>114</v>
      </c>
      <c r="B71" s="8" t="s">
        <v>115</v>
      </c>
      <c r="C71" s="8">
        <v>4.5</v>
      </c>
      <c r="D71" s="11">
        <v>6679</v>
      </c>
      <c r="E71" s="9">
        <v>105</v>
      </c>
      <c r="F71" s="8">
        <v>2013</v>
      </c>
      <c r="G71" s="8" t="s">
        <v>9</v>
      </c>
      <c r="M71" s="33" t="s">
        <v>174</v>
      </c>
      <c r="O71" s="32">
        <f t="shared" si="1"/>
        <v>408</v>
      </c>
    </row>
    <row r="72" spans="1:15" x14ac:dyDescent="0.3">
      <c r="A72" s="13" t="s">
        <v>114</v>
      </c>
      <c r="B72" s="8" t="s">
        <v>115</v>
      </c>
      <c r="C72" s="8">
        <v>4.5</v>
      </c>
      <c r="D72" s="11">
        <v>6679</v>
      </c>
      <c r="E72" s="9">
        <v>105</v>
      </c>
      <c r="F72" s="8">
        <v>2014</v>
      </c>
      <c r="G72" s="8" t="s">
        <v>9</v>
      </c>
      <c r="M72" s="33" t="s">
        <v>176</v>
      </c>
      <c r="O72" s="32">
        <f t="shared" si="1"/>
        <v>4799</v>
      </c>
    </row>
    <row r="73" spans="1:15" x14ac:dyDescent="0.3">
      <c r="A73" s="13" t="s">
        <v>116</v>
      </c>
      <c r="B73" s="8" t="s">
        <v>80</v>
      </c>
      <c r="C73" s="8">
        <v>4.8</v>
      </c>
      <c r="D73" s="11">
        <v>6812</v>
      </c>
      <c r="E73" s="9">
        <v>10</v>
      </c>
      <c r="F73" s="8">
        <v>2013</v>
      </c>
      <c r="G73" s="8" t="s">
        <v>12</v>
      </c>
      <c r="M73" s="33" t="s">
        <v>178</v>
      </c>
      <c r="O73" s="32">
        <f t="shared" si="1"/>
        <v>70190</v>
      </c>
    </row>
    <row r="74" spans="1:15" x14ac:dyDescent="0.3">
      <c r="A74" s="13" t="s">
        <v>117</v>
      </c>
      <c r="B74" s="8" t="s">
        <v>80</v>
      </c>
      <c r="C74" s="8">
        <v>4.8</v>
      </c>
      <c r="D74" s="11">
        <v>3837</v>
      </c>
      <c r="E74" s="9">
        <v>15</v>
      </c>
      <c r="F74" s="8">
        <v>2009</v>
      </c>
      <c r="G74" s="8" t="s">
        <v>12</v>
      </c>
      <c r="M74" s="33" t="s">
        <v>180</v>
      </c>
      <c r="O74" s="32">
        <f t="shared" si="1"/>
        <v>52236</v>
      </c>
    </row>
    <row r="75" spans="1:15" x14ac:dyDescent="0.3">
      <c r="A75" s="13" t="s">
        <v>118</v>
      </c>
      <c r="B75" s="8" t="s">
        <v>80</v>
      </c>
      <c r="C75" s="8">
        <v>4.8</v>
      </c>
      <c r="D75" s="11">
        <v>6540</v>
      </c>
      <c r="E75" s="9">
        <v>22</v>
      </c>
      <c r="F75" s="8">
        <v>2014</v>
      </c>
      <c r="G75" s="8" t="s">
        <v>12</v>
      </c>
      <c r="M75" s="33" t="s">
        <v>184</v>
      </c>
      <c r="O75" s="32">
        <f t="shared" si="1"/>
        <v>146152</v>
      </c>
    </row>
    <row r="76" spans="1:15" x14ac:dyDescent="0.3">
      <c r="A76" s="13" t="s">
        <v>119</v>
      </c>
      <c r="B76" s="8" t="s">
        <v>120</v>
      </c>
      <c r="C76" s="8">
        <v>4.5999999999999996</v>
      </c>
      <c r="D76" s="11">
        <v>7955</v>
      </c>
      <c r="E76" s="9">
        <v>5</v>
      </c>
      <c r="F76" s="8">
        <v>2019</v>
      </c>
      <c r="G76" s="8" t="s">
        <v>9</v>
      </c>
      <c r="M76" s="33" t="s">
        <v>186</v>
      </c>
      <c r="O76" s="32">
        <f t="shared" si="1"/>
        <v>9568</v>
      </c>
    </row>
    <row r="77" spans="1:15" x14ac:dyDescent="0.3">
      <c r="A77" s="13" t="s">
        <v>121</v>
      </c>
      <c r="B77" s="8" t="s">
        <v>48</v>
      </c>
      <c r="C77" s="8">
        <v>4.5999999999999996</v>
      </c>
      <c r="D77" s="11">
        <v>27098</v>
      </c>
      <c r="E77" s="9">
        <v>15</v>
      </c>
      <c r="F77" s="8">
        <v>2013</v>
      </c>
      <c r="G77" s="8" t="s">
        <v>12</v>
      </c>
      <c r="M77" s="33" t="s">
        <v>188</v>
      </c>
      <c r="O77" s="32">
        <f t="shared" si="1"/>
        <v>1636</v>
      </c>
    </row>
    <row r="78" spans="1:15" x14ac:dyDescent="0.3">
      <c r="A78" s="13" t="s">
        <v>121</v>
      </c>
      <c r="B78" s="8" t="s">
        <v>48</v>
      </c>
      <c r="C78" s="8">
        <v>4.5999999999999996</v>
      </c>
      <c r="D78" s="11">
        <v>27098</v>
      </c>
      <c r="E78" s="9">
        <v>15</v>
      </c>
      <c r="F78" s="8">
        <v>2014</v>
      </c>
      <c r="G78" s="8" t="s">
        <v>12</v>
      </c>
      <c r="M78" s="33" t="s">
        <v>190</v>
      </c>
      <c r="O78" s="32">
        <f t="shared" si="1"/>
        <v>171813</v>
      </c>
    </row>
    <row r="79" spans="1:15" x14ac:dyDescent="0.3">
      <c r="A79" s="13" t="s">
        <v>122</v>
      </c>
      <c r="B79" s="8" t="s">
        <v>48</v>
      </c>
      <c r="C79" s="8">
        <v>4.5</v>
      </c>
      <c r="D79" s="11">
        <v>17684</v>
      </c>
      <c r="E79" s="9">
        <v>6</v>
      </c>
      <c r="F79" s="8">
        <v>2014</v>
      </c>
      <c r="G79" s="8" t="s">
        <v>12</v>
      </c>
      <c r="M79" s="33" t="s">
        <v>192</v>
      </c>
      <c r="O79" s="32">
        <f t="shared" si="1"/>
        <v>10141</v>
      </c>
    </row>
    <row r="80" spans="1:15" x14ac:dyDescent="0.3">
      <c r="A80" s="13" t="s">
        <v>123</v>
      </c>
      <c r="B80" s="8" t="s">
        <v>124</v>
      </c>
      <c r="C80" s="8">
        <v>4.5999999999999996</v>
      </c>
      <c r="D80" s="11">
        <v>37</v>
      </c>
      <c r="E80" s="9">
        <v>6</v>
      </c>
      <c r="F80" s="8">
        <v>2009</v>
      </c>
      <c r="G80" s="8" t="s">
        <v>9</v>
      </c>
      <c r="M80" s="33" t="s">
        <v>194</v>
      </c>
      <c r="O80" s="32">
        <f t="shared" si="1"/>
        <v>13828</v>
      </c>
    </row>
    <row r="81" spans="1:15" x14ac:dyDescent="0.3">
      <c r="A81" s="13" t="s">
        <v>125</v>
      </c>
      <c r="B81" s="8" t="s">
        <v>11</v>
      </c>
      <c r="C81" s="8">
        <v>4.7</v>
      </c>
      <c r="D81" s="11">
        <v>15845</v>
      </c>
      <c r="E81" s="9">
        <v>13</v>
      </c>
      <c r="F81" s="8">
        <v>2013</v>
      </c>
      <c r="G81" s="8" t="s">
        <v>12</v>
      </c>
      <c r="M81" s="33" t="s">
        <v>196</v>
      </c>
      <c r="O81" s="32">
        <f t="shared" si="1"/>
        <v>26511</v>
      </c>
    </row>
    <row r="82" spans="1:15" x14ac:dyDescent="0.3">
      <c r="A82" s="13" t="s">
        <v>126</v>
      </c>
      <c r="B82" s="8" t="s">
        <v>80</v>
      </c>
      <c r="C82" s="8">
        <v>4.8</v>
      </c>
      <c r="D82" s="11">
        <v>3181</v>
      </c>
      <c r="E82" s="9">
        <v>12</v>
      </c>
      <c r="F82" s="8">
        <v>2009</v>
      </c>
      <c r="G82" s="8" t="s">
        <v>12</v>
      </c>
      <c r="M82" s="33" t="s">
        <v>198</v>
      </c>
      <c r="O82" s="32">
        <f t="shared" si="1"/>
        <v>14076</v>
      </c>
    </row>
    <row r="83" spans="1:15" x14ac:dyDescent="0.3">
      <c r="A83" s="13" t="s">
        <v>127</v>
      </c>
      <c r="B83" s="8" t="s">
        <v>128</v>
      </c>
      <c r="C83" s="8">
        <v>4.9000000000000004</v>
      </c>
      <c r="D83" s="11">
        <v>5062</v>
      </c>
      <c r="E83" s="9">
        <v>6</v>
      </c>
      <c r="F83" s="8">
        <v>2018</v>
      </c>
      <c r="G83" s="8" t="s">
        <v>12</v>
      </c>
      <c r="M83" s="33" t="s">
        <v>200</v>
      </c>
      <c r="O83" s="32">
        <f t="shared" si="1"/>
        <v>5972</v>
      </c>
    </row>
    <row r="84" spans="1:15" x14ac:dyDescent="0.3">
      <c r="A84" s="13" t="s">
        <v>129</v>
      </c>
      <c r="B84" s="8" t="s">
        <v>128</v>
      </c>
      <c r="C84" s="8">
        <v>4.9000000000000004</v>
      </c>
      <c r="D84" s="11">
        <v>4786</v>
      </c>
      <c r="E84" s="9">
        <v>8</v>
      </c>
      <c r="F84" s="8">
        <v>2017</v>
      </c>
      <c r="G84" s="8" t="s">
        <v>12</v>
      </c>
      <c r="M84" s="33" t="s">
        <v>203</v>
      </c>
      <c r="O84" s="32">
        <f t="shared" si="1"/>
        <v>5476</v>
      </c>
    </row>
    <row r="85" spans="1:15" x14ac:dyDescent="0.3">
      <c r="A85" s="13" t="s">
        <v>130</v>
      </c>
      <c r="B85" s="8" t="s">
        <v>128</v>
      </c>
      <c r="C85" s="8">
        <v>4.9000000000000004</v>
      </c>
      <c r="D85" s="11">
        <v>7235</v>
      </c>
      <c r="E85" s="9">
        <v>4</v>
      </c>
      <c r="F85" s="8">
        <v>2018</v>
      </c>
      <c r="G85" s="8" t="s">
        <v>12</v>
      </c>
      <c r="M85" s="33" t="s">
        <v>205</v>
      </c>
      <c r="O85" s="32">
        <f t="shared" si="1"/>
        <v>5867</v>
      </c>
    </row>
    <row r="86" spans="1:15" x14ac:dyDescent="0.3">
      <c r="A86" s="13" t="s">
        <v>130</v>
      </c>
      <c r="B86" s="8" t="s">
        <v>128</v>
      </c>
      <c r="C86" s="8">
        <v>4.9000000000000004</v>
      </c>
      <c r="D86" s="11">
        <v>7235</v>
      </c>
      <c r="E86" s="9">
        <v>4</v>
      </c>
      <c r="F86" s="8">
        <v>2019</v>
      </c>
      <c r="G86" s="8" t="s">
        <v>12</v>
      </c>
      <c r="M86" s="33" t="s">
        <v>207</v>
      </c>
      <c r="O86" s="32">
        <f t="shared" si="1"/>
        <v>4148</v>
      </c>
    </row>
    <row r="87" spans="1:15" x14ac:dyDescent="0.3">
      <c r="A87" s="13" t="s">
        <v>131</v>
      </c>
      <c r="B87" s="8" t="s">
        <v>128</v>
      </c>
      <c r="C87" s="8">
        <v>4.9000000000000004</v>
      </c>
      <c r="D87" s="11">
        <v>12619</v>
      </c>
      <c r="E87" s="9">
        <v>8</v>
      </c>
      <c r="F87" s="8">
        <v>2019</v>
      </c>
      <c r="G87" s="8" t="s">
        <v>12</v>
      </c>
      <c r="M87" s="33" t="s">
        <v>211</v>
      </c>
      <c r="O87" s="32">
        <f t="shared" si="1"/>
        <v>21229</v>
      </c>
    </row>
    <row r="88" spans="1:15" x14ac:dyDescent="0.3">
      <c r="A88" s="13" t="s">
        <v>132</v>
      </c>
      <c r="B88" s="8" t="s">
        <v>128</v>
      </c>
      <c r="C88" s="8">
        <v>4.9000000000000004</v>
      </c>
      <c r="D88" s="11">
        <v>9089</v>
      </c>
      <c r="E88" s="9">
        <v>8</v>
      </c>
      <c r="F88" s="8">
        <v>2019</v>
      </c>
      <c r="G88" s="8" t="s">
        <v>12</v>
      </c>
      <c r="M88" s="33" t="s">
        <v>215</v>
      </c>
      <c r="O88" s="32">
        <f t="shared" si="1"/>
        <v>7067</v>
      </c>
    </row>
    <row r="89" spans="1:15" x14ac:dyDescent="0.3">
      <c r="A89" s="13" t="s">
        <v>133</v>
      </c>
      <c r="B89" s="8" t="s">
        <v>128</v>
      </c>
      <c r="C89" s="8">
        <v>4.9000000000000004</v>
      </c>
      <c r="D89" s="11">
        <v>5470</v>
      </c>
      <c r="E89" s="9">
        <v>6</v>
      </c>
      <c r="F89" s="8">
        <v>2018</v>
      </c>
      <c r="G89" s="8" t="s">
        <v>12</v>
      </c>
      <c r="M89" s="33" t="s">
        <v>218</v>
      </c>
      <c r="O89" s="32">
        <f t="shared" si="1"/>
        <v>1930</v>
      </c>
    </row>
    <row r="90" spans="1:15" x14ac:dyDescent="0.3">
      <c r="A90" s="13" t="s">
        <v>134</v>
      </c>
      <c r="B90" s="8" t="s">
        <v>80</v>
      </c>
      <c r="C90" s="8">
        <v>4.8</v>
      </c>
      <c r="D90" s="11">
        <v>5118</v>
      </c>
      <c r="E90" s="9">
        <v>20</v>
      </c>
      <c r="F90" s="8">
        <v>2016</v>
      </c>
      <c r="G90" s="8" t="s">
        <v>12</v>
      </c>
      <c r="M90" s="33" t="s">
        <v>220</v>
      </c>
      <c r="O90" s="32">
        <f t="shared" si="1"/>
        <v>31558</v>
      </c>
    </row>
    <row r="91" spans="1:15" x14ac:dyDescent="0.3">
      <c r="A91" s="13" t="s">
        <v>135</v>
      </c>
      <c r="B91" s="8" t="s">
        <v>136</v>
      </c>
      <c r="C91" s="8">
        <v>4.5999999999999996</v>
      </c>
      <c r="D91" s="11">
        <v>2134</v>
      </c>
      <c r="E91" s="9">
        <v>5</v>
      </c>
      <c r="F91" s="8">
        <v>2015</v>
      </c>
      <c r="G91" s="8" t="s">
        <v>9</v>
      </c>
      <c r="M91" s="33" t="s">
        <v>222</v>
      </c>
      <c r="O91" s="32">
        <f t="shared" si="1"/>
        <v>31052</v>
      </c>
    </row>
    <row r="92" spans="1:15" x14ac:dyDescent="0.3">
      <c r="A92" s="13" t="s">
        <v>137</v>
      </c>
      <c r="B92" s="8" t="s">
        <v>138</v>
      </c>
      <c r="C92" s="8">
        <v>4.5</v>
      </c>
      <c r="D92" s="11">
        <v>2525</v>
      </c>
      <c r="E92" s="9">
        <v>16</v>
      </c>
      <c r="F92" s="8">
        <v>2010</v>
      </c>
      <c r="G92" s="8" t="s">
        <v>9</v>
      </c>
      <c r="M92" s="33" t="s">
        <v>224</v>
      </c>
      <c r="O92" s="32">
        <f t="shared" si="1"/>
        <v>13643</v>
      </c>
    </row>
    <row r="93" spans="1:15" x14ac:dyDescent="0.3">
      <c r="A93" s="13" t="s">
        <v>139</v>
      </c>
      <c r="B93" s="8" t="s">
        <v>140</v>
      </c>
      <c r="C93" s="8">
        <v>4.5</v>
      </c>
      <c r="D93" s="11">
        <v>720</v>
      </c>
      <c r="E93" s="9">
        <v>1</v>
      </c>
      <c r="F93" s="8">
        <v>2009</v>
      </c>
      <c r="G93" s="8" t="s">
        <v>9</v>
      </c>
      <c r="M93" s="33" t="s">
        <v>226</v>
      </c>
      <c r="O93" s="32">
        <f t="shared" si="1"/>
        <v>125005</v>
      </c>
    </row>
    <row r="94" spans="1:15" x14ac:dyDescent="0.3">
      <c r="A94" s="13" t="s">
        <v>141</v>
      </c>
      <c r="B94" s="8" t="s">
        <v>140</v>
      </c>
      <c r="C94" s="8">
        <v>4.3</v>
      </c>
      <c r="D94" s="11">
        <v>956</v>
      </c>
      <c r="E94" s="9">
        <v>14</v>
      </c>
      <c r="F94" s="8">
        <v>2009</v>
      </c>
      <c r="G94" s="8" t="s">
        <v>9</v>
      </c>
      <c r="M94" s="33" t="s">
        <v>228</v>
      </c>
      <c r="O94" s="32">
        <f t="shared" si="1"/>
        <v>5272</v>
      </c>
    </row>
    <row r="95" spans="1:15" x14ac:dyDescent="0.3">
      <c r="A95" s="13" t="s">
        <v>142</v>
      </c>
      <c r="B95" s="8" t="s">
        <v>143</v>
      </c>
      <c r="C95" s="8">
        <v>4.5</v>
      </c>
      <c r="D95" s="11">
        <v>6346</v>
      </c>
      <c r="E95" s="9">
        <v>9</v>
      </c>
      <c r="F95" s="8">
        <v>2011</v>
      </c>
      <c r="G95" s="8" t="s">
        <v>9</v>
      </c>
      <c r="M95" s="33" t="s">
        <v>230</v>
      </c>
      <c r="O95" s="32">
        <f t="shared" si="1"/>
        <v>9792</v>
      </c>
    </row>
    <row r="96" spans="1:15" x14ac:dyDescent="0.3">
      <c r="A96" s="13" t="s">
        <v>142</v>
      </c>
      <c r="B96" s="8" t="s">
        <v>143</v>
      </c>
      <c r="C96" s="8">
        <v>4.5</v>
      </c>
      <c r="D96" s="11">
        <v>6346</v>
      </c>
      <c r="E96" s="9">
        <v>9</v>
      </c>
      <c r="F96" s="8">
        <v>2012</v>
      </c>
      <c r="G96" s="8" t="s">
        <v>9</v>
      </c>
      <c r="M96" s="33" t="s">
        <v>233</v>
      </c>
      <c r="O96" s="32">
        <f t="shared" si="1"/>
        <v>4896</v>
      </c>
    </row>
    <row r="97" spans="1:15" x14ac:dyDescent="0.3">
      <c r="A97" s="13" t="s">
        <v>144</v>
      </c>
      <c r="B97" s="8" t="s">
        <v>75</v>
      </c>
      <c r="C97" s="8">
        <v>4.7</v>
      </c>
      <c r="D97" s="11">
        <v>5505</v>
      </c>
      <c r="E97" s="9">
        <v>7</v>
      </c>
      <c r="F97" s="8">
        <v>2009</v>
      </c>
      <c r="G97" s="8" t="s">
        <v>12</v>
      </c>
      <c r="M97" s="33" t="s">
        <v>235</v>
      </c>
      <c r="O97" s="32">
        <f t="shared" si="1"/>
        <v>9737</v>
      </c>
    </row>
    <row r="98" spans="1:15" x14ac:dyDescent="0.3">
      <c r="A98" s="13" t="s">
        <v>145</v>
      </c>
      <c r="B98" s="8" t="s">
        <v>75</v>
      </c>
      <c r="C98" s="8">
        <v>4.7</v>
      </c>
      <c r="D98" s="11">
        <v>5505</v>
      </c>
      <c r="E98" s="9">
        <v>18</v>
      </c>
      <c r="F98" s="8">
        <v>2009</v>
      </c>
      <c r="G98" s="8" t="s">
        <v>12</v>
      </c>
      <c r="M98" s="33" t="s">
        <v>237</v>
      </c>
      <c r="O98" s="32">
        <f t="shared" si="1"/>
        <v>11511</v>
      </c>
    </row>
    <row r="99" spans="1:15" x14ac:dyDescent="0.3">
      <c r="A99" s="13" t="s">
        <v>146</v>
      </c>
      <c r="B99" s="8" t="s">
        <v>147</v>
      </c>
      <c r="C99" s="8">
        <v>4.7</v>
      </c>
      <c r="D99" s="11">
        <v>28729</v>
      </c>
      <c r="E99" s="9">
        <v>15</v>
      </c>
      <c r="F99" s="8">
        <v>2018</v>
      </c>
      <c r="G99" s="8" t="s">
        <v>9</v>
      </c>
      <c r="M99" s="33" t="s">
        <v>239</v>
      </c>
      <c r="O99" s="32">
        <f t="shared" si="1"/>
        <v>33286</v>
      </c>
    </row>
    <row r="100" spans="1:15" x14ac:dyDescent="0.3">
      <c r="A100" s="13" t="s">
        <v>146</v>
      </c>
      <c r="B100" s="8" t="s">
        <v>147</v>
      </c>
      <c r="C100" s="8">
        <v>4.7</v>
      </c>
      <c r="D100" s="11">
        <v>28729</v>
      </c>
      <c r="E100" s="9">
        <v>15</v>
      </c>
      <c r="F100" s="8">
        <v>2019</v>
      </c>
      <c r="G100" s="8" t="s">
        <v>9</v>
      </c>
      <c r="M100" s="33" t="s">
        <v>241</v>
      </c>
      <c r="O100" s="32">
        <f t="shared" si="1"/>
        <v>7153</v>
      </c>
    </row>
    <row r="101" spans="1:15" x14ac:dyDescent="0.3">
      <c r="A101" s="13" t="s">
        <v>148</v>
      </c>
      <c r="B101" s="8" t="s">
        <v>149</v>
      </c>
      <c r="C101" s="8">
        <v>4.7</v>
      </c>
      <c r="D101" s="11">
        <v>5413</v>
      </c>
      <c r="E101" s="9">
        <v>9</v>
      </c>
      <c r="F101" s="8">
        <v>2015</v>
      </c>
      <c r="G101" s="8" t="s">
        <v>9</v>
      </c>
      <c r="M101" s="33" t="s">
        <v>243</v>
      </c>
      <c r="O101" s="32">
        <f t="shared" si="1"/>
        <v>4571</v>
      </c>
    </row>
    <row r="102" spans="1:15" x14ac:dyDescent="0.3">
      <c r="A102" s="13" t="s">
        <v>150</v>
      </c>
      <c r="B102" s="8" t="s">
        <v>151</v>
      </c>
      <c r="C102" s="8">
        <v>4.5999999999999996</v>
      </c>
      <c r="D102" s="11">
        <v>10721</v>
      </c>
      <c r="E102" s="9">
        <v>8</v>
      </c>
      <c r="F102" s="8">
        <v>2016</v>
      </c>
      <c r="G102" s="8" t="s">
        <v>12</v>
      </c>
      <c r="M102" s="33" t="s">
        <v>245</v>
      </c>
      <c r="O102" s="32">
        <f t="shared" si="1"/>
        <v>57302</v>
      </c>
    </row>
    <row r="103" spans="1:15" x14ac:dyDescent="0.3">
      <c r="A103" s="13" t="s">
        <v>150</v>
      </c>
      <c r="B103" s="8" t="s">
        <v>151</v>
      </c>
      <c r="C103" s="8">
        <v>4.5999999999999996</v>
      </c>
      <c r="D103" s="11">
        <v>10721</v>
      </c>
      <c r="E103" s="9">
        <v>8</v>
      </c>
      <c r="F103" s="8">
        <v>2018</v>
      </c>
      <c r="G103" s="8" t="s">
        <v>12</v>
      </c>
      <c r="M103" s="33" t="s">
        <v>247</v>
      </c>
      <c r="O103" s="32">
        <f t="shared" si="1"/>
        <v>5299</v>
      </c>
    </row>
    <row r="104" spans="1:15" x14ac:dyDescent="0.3">
      <c r="A104" s="13" t="s">
        <v>152</v>
      </c>
      <c r="B104" s="8" t="s">
        <v>153</v>
      </c>
      <c r="C104" s="8">
        <v>4.7</v>
      </c>
      <c r="D104" s="11">
        <v>4370</v>
      </c>
      <c r="E104" s="9">
        <v>15</v>
      </c>
      <c r="F104" s="8">
        <v>2016</v>
      </c>
      <c r="G104" s="8" t="s">
        <v>12</v>
      </c>
      <c r="M104" s="33" t="s">
        <v>249</v>
      </c>
      <c r="O104" s="32">
        <f t="shared" si="1"/>
        <v>14792</v>
      </c>
    </row>
    <row r="105" spans="1:15" x14ac:dyDescent="0.3">
      <c r="A105" s="13" t="s">
        <v>154</v>
      </c>
      <c r="B105" s="8" t="s">
        <v>155</v>
      </c>
      <c r="C105" s="8">
        <v>4.4000000000000004</v>
      </c>
      <c r="D105" s="11">
        <v>6042</v>
      </c>
      <c r="E105" s="9">
        <v>2</v>
      </c>
      <c r="F105" s="8">
        <v>2018</v>
      </c>
      <c r="G105" s="8" t="s">
        <v>9</v>
      </c>
      <c r="M105" s="33" t="s">
        <v>251</v>
      </c>
      <c r="O105" s="32">
        <f t="shared" si="1"/>
        <v>11647</v>
      </c>
    </row>
    <row r="106" spans="1:15" x14ac:dyDescent="0.3">
      <c r="A106" s="13" t="s">
        <v>156</v>
      </c>
      <c r="B106" s="8" t="s">
        <v>157</v>
      </c>
      <c r="C106" s="8">
        <v>4.4000000000000004</v>
      </c>
      <c r="D106" s="11">
        <v>23631</v>
      </c>
      <c r="E106" s="9">
        <v>7</v>
      </c>
      <c r="F106" s="8">
        <v>2012</v>
      </c>
      <c r="G106" s="8" t="s">
        <v>12</v>
      </c>
      <c r="M106" s="33" t="s">
        <v>253</v>
      </c>
      <c r="O106" s="32">
        <f t="shared" si="1"/>
        <v>117456</v>
      </c>
    </row>
    <row r="107" spans="1:15" x14ac:dyDescent="0.3">
      <c r="A107" s="13" t="s">
        <v>158</v>
      </c>
      <c r="B107" s="8" t="s">
        <v>157</v>
      </c>
      <c r="C107" s="8">
        <v>4.5</v>
      </c>
      <c r="D107" s="11">
        <v>20262</v>
      </c>
      <c r="E107" s="9">
        <v>11</v>
      </c>
      <c r="F107" s="8">
        <v>2012</v>
      </c>
      <c r="G107" s="8" t="s">
        <v>12</v>
      </c>
      <c r="M107" s="33" t="s">
        <v>257</v>
      </c>
      <c r="O107" s="32">
        <f t="shared" si="1"/>
        <v>8393</v>
      </c>
    </row>
    <row r="108" spans="1:15" x14ac:dyDescent="0.3">
      <c r="A108" s="13" t="s">
        <v>159</v>
      </c>
      <c r="B108" s="8" t="s">
        <v>157</v>
      </c>
      <c r="C108" s="8">
        <v>3.8</v>
      </c>
      <c r="D108" s="11">
        <v>47265</v>
      </c>
      <c r="E108" s="9">
        <v>14</v>
      </c>
      <c r="F108" s="8">
        <v>2012</v>
      </c>
      <c r="G108" s="8" t="s">
        <v>12</v>
      </c>
      <c r="M108" s="33" t="s">
        <v>259</v>
      </c>
      <c r="O108" s="32">
        <f t="shared" si="1"/>
        <v>63787</v>
      </c>
    </row>
    <row r="109" spans="1:15" x14ac:dyDescent="0.3">
      <c r="A109" s="13" t="s">
        <v>159</v>
      </c>
      <c r="B109" s="8" t="s">
        <v>157</v>
      </c>
      <c r="C109" s="8">
        <v>3.8</v>
      </c>
      <c r="D109" s="11">
        <v>47265</v>
      </c>
      <c r="E109" s="9">
        <v>14</v>
      </c>
      <c r="F109" s="8">
        <v>2013</v>
      </c>
      <c r="G109" s="8" t="s">
        <v>12</v>
      </c>
      <c r="M109" s="33" t="s">
        <v>266</v>
      </c>
      <c r="O109" s="32">
        <f t="shared" si="1"/>
        <v>2507</v>
      </c>
    </row>
    <row r="110" spans="1:15" x14ac:dyDescent="0.3">
      <c r="A110" s="13" t="s">
        <v>160</v>
      </c>
      <c r="B110" s="8" t="s">
        <v>157</v>
      </c>
      <c r="C110" s="8">
        <v>4.5</v>
      </c>
      <c r="D110" s="11">
        <v>13964</v>
      </c>
      <c r="E110" s="9">
        <v>32</v>
      </c>
      <c r="F110" s="8">
        <v>2012</v>
      </c>
      <c r="G110" s="8" t="s">
        <v>12</v>
      </c>
      <c r="M110" s="33" t="s">
        <v>268</v>
      </c>
      <c r="O110" s="32">
        <f t="shared" si="1"/>
        <v>45969</v>
      </c>
    </row>
    <row r="111" spans="1:15" x14ac:dyDescent="0.3">
      <c r="A111" s="13" t="s">
        <v>161</v>
      </c>
      <c r="B111" s="8" t="s">
        <v>162</v>
      </c>
      <c r="C111" s="8">
        <v>4.2</v>
      </c>
      <c r="D111" s="11">
        <v>13677</v>
      </c>
      <c r="E111" s="9">
        <v>6</v>
      </c>
      <c r="F111" s="8">
        <v>2018</v>
      </c>
      <c r="G111" s="8" t="s">
        <v>9</v>
      </c>
      <c r="M111" s="33" t="s">
        <v>270</v>
      </c>
      <c r="O111" s="32">
        <f t="shared" si="1"/>
        <v>11881</v>
      </c>
    </row>
    <row r="112" spans="1:15" x14ac:dyDescent="0.3">
      <c r="A112" s="13" t="s">
        <v>163</v>
      </c>
      <c r="B112" s="8" t="s">
        <v>164</v>
      </c>
      <c r="C112" s="8">
        <v>4.7</v>
      </c>
      <c r="D112" s="11">
        <v>17323</v>
      </c>
      <c r="E112" s="9">
        <v>4</v>
      </c>
      <c r="F112" s="8">
        <v>2014</v>
      </c>
      <c r="G112" s="8" t="s">
        <v>9</v>
      </c>
      <c r="M112" s="33" t="s">
        <v>273</v>
      </c>
      <c r="O112" s="32">
        <f t="shared" si="1"/>
        <v>7963</v>
      </c>
    </row>
    <row r="113" spans="1:15" x14ac:dyDescent="0.3">
      <c r="A113" s="13" t="s">
        <v>163</v>
      </c>
      <c r="B113" s="8" t="s">
        <v>164</v>
      </c>
      <c r="C113" s="8">
        <v>4.7</v>
      </c>
      <c r="D113" s="11">
        <v>17323</v>
      </c>
      <c r="E113" s="9">
        <v>4</v>
      </c>
      <c r="F113" s="8">
        <v>2015</v>
      </c>
      <c r="G113" s="8" t="s">
        <v>9</v>
      </c>
      <c r="M113" s="33" t="s">
        <v>275</v>
      </c>
      <c r="O113" s="32">
        <f t="shared" si="1"/>
        <v>18668</v>
      </c>
    </row>
    <row r="114" spans="1:15" x14ac:dyDescent="0.3">
      <c r="A114" s="13" t="s">
        <v>163</v>
      </c>
      <c r="B114" s="8" t="s">
        <v>164</v>
      </c>
      <c r="C114" s="8">
        <v>4.7</v>
      </c>
      <c r="D114" s="11">
        <v>17323</v>
      </c>
      <c r="E114" s="9">
        <v>4</v>
      </c>
      <c r="F114" s="8">
        <v>2016</v>
      </c>
      <c r="G114" s="8" t="s">
        <v>9</v>
      </c>
      <c r="M114" s="33" t="s">
        <v>277</v>
      </c>
      <c r="O114" s="32">
        <f t="shared" si="1"/>
        <v>7550</v>
      </c>
    </row>
    <row r="115" spans="1:15" x14ac:dyDescent="0.3">
      <c r="A115" s="13" t="s">
        <v>163</v>
      </c>
      <c r="B115" s="8" t="s">
        <v>164</v>
      </c>
      <c r="C115" s="8">
        <v>4.7</v>
      </c>
      <c r="D115" s="11">
        <v>17323</v>
      </c>
      <c r="E115" s="9">
        <v>4</v>
      </c>
      <c r="F115" s="8">
        <v>2017</v>
      </c>
      <c r="G115" s="8" t="s">
        <v>9</v>
      </c>
      <c r="M115" s="33" t="s">
        <v>279</v>
      </c>
      <c r="O115" s="32">
        <f t="shared" si="1"/>
        <v>9784</v>
      </c>
    </row>
    <row r="116" spans="1:15" x14ac:dyDescent="0.3">
      <c r="A116" s="13" t="s">
        <v>163</v>
      </c>
      <c r="B116" s="8" t="s">
        <v>164</v>
      </c>
      <c r="C116" s="8">
        <v>4.7</v>
      </c>
      <c r="D116" s="11">
        <v>17323</v>
      </c>
      <c r="E116" s="9">
        <v>4</v>
      </c>
      <c r="F116" s="8">
        <v>2018</v>
      </c>
      <c r="G116" s="8" t="s">
        <v>9</v>
      </c>
      <c r="M116" s="33" t="s">
        <v>281</v>
      </c>
      <c r="O116" s="32">
        <f t="shared" si="1"/>
        <v>2752</v>
      </c>
    </row>
    <row r="117" spans="1:15" x14ac:dyDescent="0.3">
      <c r="A117" s="13" t="s">
        <v>165</v>
      </c>
      <c r="B117" s="8" t="s">
        <v>166</v>
      </c>
      <c r="C117" s="8">
        <v>4.4000000000000004</v>
      </c>
      <c r="D117" s="11">
        <v>1555</v>
      </c>
      <c r="E117" s="9">
        <v>9</v>
      </c>
      <c r="F117" s="8">
        <v>2010</v>
      </c>
      <c r="G117" s="8" t="s">
        <v>9</v>
      </c>
      <c r="M117" s="33" t="s">
        <v>283</v>
      </c>
      <c r="O117" s="32">
        <f t="shared" si="1"/>
        <v>1467</v>
      </c>
    </row>
    <row r="118" spans="1:15" x14ac:dyDescent="0.3">
      <c r="A118" s="13" t="s">
        <v>167</v>
      </c>
      <c r="B118" s="8" t="s">
        <v>168</v>
      </c>
      <c r="C118" s="8">
        <v>4.7</v>
      </c>
      <c r="D118" s="11">
        <v>3642</v>
      </c>
      <c r="E118" s="9">
        <v>7</v>
      </c>
      <c r="F118" s="8">
        <v>2014</v>
      </c>
      <c r="G118" s="8" t="s">
        <v>12</v>
      </c>
      <c r="M118" s="33" t="s">
        <v>285</v>
      </c>
      <c r="O118" s="32">
        <f t="shared" si="1"/>
        <v>1884</v>
      </c>
    </row>
    <row r="119" spans="1:15" x14ac:dyDescent="0.3">
      <c r="A119" s="13" t="s">
        <v>169</v>
      </c>
      <c r="B119" s="8" t="s">
        <v>170</v>
      </c>
      <c r="C119" s="8">
        <v>4.4000000000000004</v>
      </c>
      <c r="D119" s="11">
        <v>1215</v>
      </c>
      <c r="E119" s="9">
        <v>9</v>
      </c>
      <c r="F119" s="8">
        <v>2010</v>
      </c>
      <c r="G119" s="8" t="s">
        <v>9</v>
      </c>
      <c r="M119" s="33" t="s">
        <v>287</v>
      </c>
      <c r="O119" s="32">
        <f t="shared" si="1"/>
        <v>25706</v>
      </c>
    </row>
    <row r="120" spans="1:15" x14ac:dyDescent="0.3">
      <c r="A120" s="13" t="s">
        <v>171</v>
      </c>
      <c r="B120" s="8" t="s">
        <v>172</v>
      </c>
      <c r="C120" s="8">
        <v>4.5999999999999996</v>
      </c>
      <c r="D120" s="11">
        <v>5594</v>
      </c>
      <c r="E120" s="9">
        <v>5</v>
      </c>
      <c r="F120" s="8">
        <v>2011</v>
      </c>
      <c r="G120" s="8" t="s">
        <v>12</v>
      </c>
      <c r="M120" s="33" t="s">
        <v>289</v>
      </c>
      <c r="O120" s="32">
        <f t="shared" si="1"/>
        <v>159937</v>
      </c>
    </row>
    <row r="121" spans="1:15" x14ac:dyDescent="0.3">
      <c r="A121" s="13" t="s">
        <v>171</v>
      </c>
      <c r="B121" s="8" t="s">
        <v>172</v>
      </c>
      <c r="C121" s="8">
        <v>4.5999999999999996</v>
      </c>
      <c r="D121" s="11">
        <v>5594</v>
      </c>
      <c r="E121" s="9">
        <v>5</v>
      </c>
      <c r="F121" s="8">
        <v>2012</v>
      </c>
      <c r="G121" s="8" t="s">
        <v>12</v>
      </c>
      <c r="M121" s="33" t="s">
        <v>291</v>
      </c>
      <c r="O121" s="32">
        <f t="shared" si="1"/>
        <v>1649</v>
      </c>
    </row>
    <row r="122" spans="1:15" x14ac:dyDescent="0.3">
      <c r="A122" s="13" t="s">
        <v>171</v>
      </c>
      <c r="B122" s="8" t="s">
        <v>172</v>
      </c>
      <c r="C122" s="8">
        <v>4.5999999999999996</v>
      </c>
      <c r="D122" s="11">
        <v>5594</v>
      </c>
      <c r="E122" s="9">
        <v>5</v>
      </c>
      <c r="F122" s="8">
        <v>2013</v>
      </c>
      <c r="G122" s="8" t="s">
        <v>12</v>
      </c>
      <c r="M122" s="33" t="s">
        <v>293</v>
      </c>
      <c r="O122" s="32">
        <f t="shared" si="1"/>
        <v>37226</v>
      </c>
    </row>
    <row r="123" spans="1:15" x14ac:dyDescent="0.3">
      <c r="A123" s="13" t="s">
        <v>173</v>
      </c>
      <c r="B123" s="8" t="s">
        <v>174</v>
      </c>
      <c r="C123" s="8">
        <v>4.5</v>
      </c>
      <c r="D123" s="11">
        <v>408</v>
      </c>
      <c r="E123" s="9">
        <v>20</v>
      </c>
      <c r="F123" s="8">
        <v>2010</v>
      </c>
      <c r="G123" s="8" t="s">
        <v>9</v>
      </c>
      <c r="M123" s="33" t="s">
        <v>297</v>
      </c>
      <c r="O123" s="32">
        <f t="shared" si="1"/>
        <v>10199</v>
      </c>
    </row>
    <row r="124" spans="1:15" x14ac:dyDescent="0.3">
      <c r="A124" s="13" t="s">
        <v>175</v>
      </c>
      <c r="B124" s="8" t="s">
        <v>176</v>
      </c>
      <c r="C124" s="8">
        <v>4.5999999999999996</v>
      </c>
      <c r="D124" s="11">
        <v>4799</v>
      </c>
      <c r="E124" s="9">
        <v>16</v>
      </c>
      <c r="F124" s="8">
        <v>2013</v>
      </c>
      <c r="G124" s="8" t="s">
        <v>9</v>
      </c>
      <c r="M124" s="33" t="s">
        <v>299</v>
      </c>
      <c r="O124" s="32">
        <f t="shared" si="1"/>
        <v>2926</v>
      </c>
    </row>
    <row r="125" spans="1:15" x14ac:dyDescent="0.3">
      <c r="A125" s="13" t="s">
        <v>177</v>
      </c>
      <c r="B125" s="8" t="s">
        <v>178</v>
      </c>
      <c r="C125" s="8">
        <v>4.8</v>
      </c>
      <c r="D125" s="11">
        <v>14038</v>
      </c>
      <c r="E125" s="9">
        <v>4</v>
      </c>
      <c r="F125" s="8">
        <v>2015</v>
      </c>
      <c r="G125" s="8" t="s">
        <v>12</v>
      </c>
      <c r="M125" s="33" t="s">
        <v>301</v>
      </c>
      <c r="O125" s="32">
        <f t="shared" si="1"/>
        <v>58704</v>
      </c>
    </row>
    <row r="126" spans="1:15" x14ac:dyDescent="0.3">
      <c r="A126" s="13" t="s">
        <v>177</v>
      </c>
      <c r="B126" s="8" t="s">
        <v>178</v>
      </c>
      <c r="C126" s="8">
        <v>4.8</v>
      </c>
      <c r="D126" s="11">
        <v>14038</v>
      </c>
      <c r="E126" s="9">
        <v>4</v>
      </c>
      <c r="F126" s="8">
        <v>2016</v>
      </c>
      <c r="G126" s="8" t="s">
        <v>12</v>
      </c>
      <c r="M126" s="33" t="s">
        <v>303</v>
      </c>
      <c r="O126" s="32">
        <f t="shared" si="1"/>
        <v>3113</v>
      </c>
    </row>
    <row r="127" spans="1:15" x14ac:dyDescent="0.3">
      <c r="A127" s="13" t="s">
        <v>177</v>
      </c>
      <c r="B127" s="8" t="s">
        <v>178</v>
      </c>
      <c r="C127" s="8">
        <v>4.8</v>
      </c>
      <c r="D127" s="11">
        <v>14038</v>
      </c>
      <c r="E127" s="9">
        <v>4</v>
      </c>
      <c r="F127" s="8">
        <v>2017</v>
      </c>
      <c r="G127" s="8" t="s">
        <v>12</v>
      </c>
      <c r="M127" s="33" t="s">
        <v>305</v>
      </c>
      <c r="O127" s="32">
        <f t="shared" si="1"/>
        <v>16626</v>
      </c>
    </row>
    <row r="128" spans="1:15" x14ac:dyDescent="0.3">
      <c r="A128" s="13" t="s">
        <v>177</v>
      </c>
      <c r="B128" s="8" t="s">
        <v>178</v>
      </c>
      <c r="C128" s="8">
        <v>4.8</v>
      </c>
      <c r="D128" s="11">
        <v>14038</v>
      </c>
      <c r="E128" s="9">
        <v>4</v>
      </c>
      <c r="F128" s="8">
        <v>2018</v>
      </c>
      <c r="G128" s="8" t="s">
        <v>12</v>
      </c>
      <c r="M128" s="33" t="s">
        <v>308</v>
      </c>
      <c r="O128" s="32">
        <f t="shared" si="1"/>
        <v>5347</v>
      </c>
    </row>
    <row r="129" spans="1:15" x14ac:dyDescent="0.3">
      <c r="A129" s="13" t="s">
        <v>177</v>
      </c>
      <c r="B129" s="8" t="s">
        <v>178</v>
      </c>
      <c r="C129" s="8">
        <v>4.8</v>
      </c>
      <c r="D129" s="11">
        <v>14038</v>
      </c>
      <c r="E129" s="9">
        <v>4</v>
      </c>
      <c r="F129" s="8">
        <v>2019</v>
      </c>
      <c r="G129" s="8" t="s">
        <v>12</v>
      </c>
      <c r="M129" s="33" t="s">
        <v>310</v>
      </c>
      <c r="O129" s="32">
        <f t="shared" si="1"/>
        <v>7866</v>
      </c>
    </row>
    <row r="130" spans="1:15" x14ac:dyDescent="0.3">
      <c r="A130" s="13" t="s">
        <v>179</v>
      </c>
      <c r="B130" s="8" t="s">
        <v>180</v>
      </c>
      <c r="C130" s="8">
        <v>4.5999999999999996</v>
      </c>
      <c r="D130" s="11">
        <v>7660</v>
      </c>
      <c r="E130" s="9">
        <v>12</v>
      </c>
      <c r="F130" s="8">
        <v>2019</v>
      </c>
      <c r="G130" s="8" t="s">
        <v>9</v>
      </c>
      <c r="M130" s="33" t="s">
        <v>313</v>
      </c>
      <c r="O130" s="32">
        <f t="shared" si="1"/>
        <v>5178</v>
      </c>
    </row>
    <row r="131" spans="1:15" x14ac:dyDescent="0.3">
      <c r="A131" s="13" t="s">
        <v>181</v>
      </c>
      <c r="B131" s="8" t="s">
        <v>180</v>
      </c>
      <c r="C131" s="8">
        <v>4.5999999999999996</v>
      </c>
      <c r="D131" s="11">
        <v>22288</v>
      </c>
      <c r="E131" s="9">
        <v>12</v>
      </c>
      <c r="F131" s="8">
        <v>2018</v>
      </c>
      <c r="G131" s="8" t="s">
        <v>9</v>
      </c>
      <c r="M131" s="33" t="s">
        <v>315</v>
      </c>
      <c r="O131" s="32">
        <f t="shared" ref="O131:O194" si="2">SUMIF(B:B,M131,D:D)</f>
        <v>8093</v>
      </c>
    </row>
    <row r="132" spans="1:15" x14ac:dyDescent="0.3">
      <c r="A132" s="13" t="s">
        <v>181</v>
      </c>
      <c r="B132" s="8" t="s">
        <v>180</v>
      </c>
      <c r="C132" s="8">
        <v>4.5999999999999996</v>
      </c>
      <c r="D132" s="11">
        <v>22288</v>
      </c>
      <c r="E132" s="9">
        <v>12</v>
      </c>
      <c r="F132" s="8">
        <v>2019</v>
      </c>
      <c r="G132" s="8" t="s">
        <v>9</v>
      </c>
      <c r="M132" s="33" t="s">
        <v>317</v>
      </c>
      <c r="O132" s="32">
        <f t="shared" si="2"/>
        <v>3192</v>
      </c>
    </row>
    <row r="133" spans="1:15" x14ac:dyDescent="0.3">
      <c r="A133" s="13" t="s">
        <v>182</v>
      </c>
      <c r="B133" s="8" t="s">
        <v>54</v>
      </c>
      <c r="C133" s="8">
        <v>4.5999999999999996</v>
      </c>
      <c r="D133" s="11">
        <v>1365</v>
      </c>
      <c r="E133" s="9">
        <v>11</v>
      </c>
      <c r="F133" s="8">
        <v>2009</v>
      </c>
      <c r="G133" s="8" t="s">
        <v>9</v>
      </c>
      <c r="M133" s="33" t="s">
        <v>319</v>
      </c>
      <c r="O133" s="32">
        <f t="shared" si="2"/>
        <v>176545</v>
      </c>
    </row>
    <row r="134" spans="1:15" x14ac:dyDescent="0.3">
      <c r="A134" s="13" t="s">
        <v>183</v>
      </c>
      <c r="B134" s="8" t="s">
        <v>184</v>
      </c>
      <c r="C134" s="8">
        <v>3.6</v>
      </c>
      <c r="D134" s="11">
        <v>14982</v>
      </c>
      <c r="E134" s="9">
        <v>19</v>
      </c>
      <c r="F134" s="8">
        <v>2015</v>
      </c>
      <c r="G134" s="8" t="s">
        <v>12</v>
      </c>
      <c r="M134" s="33" t="s">
        <v>322</v>
      </c>
      <c r="O134" s="32">
        <f t="shared" si="2"/>
        <v>4519</v>
      </c>
    </row>
    <row r="135" spans="1:15" x14ac:dyDescent="0.3">
      <c r="A135" s="13" t="s">
        <v>185</v>
      </c>
      <c r="B135" s="8" t="s">
        <v>186</v>
      </c>
      <c r="C135" s="8">
        <v>4.8</v>
      </c>
      <c r="D135" s="11">
        <v>9568</v>
      </c>
      <c r="E135" s="9">
        <v>9</v>
      </c>
      <c r="F135" s="8">
        <v>2011</v>
      </c>
      <c r="G135" s="8" t="s">
        <v>12</v>
      </c>
      <c r="M135" s="33" t="s">
        <v>324</v>
      </c>
      <c r="O135" s="32">
        <f t="shared" si="2"/>
        <v>6326</v>
      </c>
    </row>
    <row r="136" spans="1:15" x14ac:dyDescent="0.3">
      <c r="A136" s="13" t="s">
        <v>187</v>
      </c>
      <c r="B136" s="8" t="s">
        <v>188</v>
      </c>
      <c r="C136" s="8">
        <v>4.5999999999999996</v>
      </c>
      <c r="D136" s="11">
        <v>1636</v>
      </c>
      <c r="E136" s="9">
        <v>6</v>
      </c>
      <c r="F136" s="8">
        <v>2009</v>
      </c>
      <c r="G136" s="8" t="s">
        <v>9</v>
      </c>
      <c r="M136" s="33" t="s">
        <v>328</v>
      </c>
      <c r="O136" s="32">
        <f t="shared" si="2"/>
        <v>21930</v>
      </c>
    </row>
    <row r="137" spans="1:15" x14ac:dyDescent="0.3">
      <c r="A137" s="13" t="s">
        <v>189</v>
      </c>
      <c r="B137" s="8" t="s">
        <v>190</v>
      </c>
      <c r="C137" s="8">
        <v>4</v>
      </c>
      <c r="D137" s="11">
        <v>57271</v>
      </c>
      <c r="E137" s="9">
        <v>10</v>
      </c>
      <c r="F137" s="8">
        <v>2012</v>
      </c>
      <c r="G137" s="8" t="s">
        <v>12</v>
      </c>
      <c r="M137" s="33" t="s">
        <v>331</v>
      </c>
      <c r="O137" s="32">
        <f t="shared" si="2"/>
        <v>21640</v>
      </c>
    </row>
    <row r="138" spans="1:15" x14ac:dyDescent="0.3">
      <c r="A138" s="13" t="s">
        <v>189</v>
      </c>
      <c r="B138" s="8" t="s">
        <v>190</v>
      </c>
      <c r="C138" s="8">
        <v>4</v>
      </c>
      <c r="D138" s="11">
        <v>57271</v>
      </c>
      <c r="E138" s="9">
        <v>10</v>
      </c>
      <c r="F138" s="8">
        <v>2013</v>
      </c>
      <c r="G138" s="8" t="s">
        <v>12</v>
      </c>
      <c r="M138" s="33" t="s">
        <v>333</v>
      </c>
      <c r="O138" s="32">
        <f t="shared" si="2"/>
        <v>44169</v>
      </c>
    </row>
    <row r="139" spans="1:15" x14ac:dyDescent="0.3">
      <c r="A139" s="13" t="s">
        <v>189</v>
      </c>
      <c r="B139" s="8" t="s">
        <v>190</v>
      </c>
      <c r="C139" s="8">
        <v>4</v>
      </c>
      <c r="D139" s="11">
        <v>57271</v>
      </c>
      <c r="E139" s="9">
        <v>9</v>
      </c>
      <c r="F139" s="8">
        <v>2014</v>
      </c>
      <c r="G139" s="8" t="s">
        <v>12</v>
      </c>
      <c r="M139" s="33" t="s">
        <v>335</v>
      </c>
      <c r="O139" s="32">
        <f t="shared" si="2"/>
        <v>50970</v>
      </c>
    </row>
    <row r="140" spans="1:15" x14ac:dyDescent="0.3">
      <c r="A140" s="13" t="s">
        <v>191</v>
      </c>
      <c r="B140" s="8" t="s">
        <v>192</v>
      </c>
      <c r="C140" s="8">
        <v>4.5999999999999996</v>
      </c>
      <c r="D140" s="11">
        <v>10141</v>
      </c>
      <c r="E140" s="9">
        <v>6</v>
      </c>
      <c r="F140" s="8">
        <v>2019</v>
      </c>
      <c r="G140" s="8" t="s">
        <v>9</v>
      </c>
      <c r="M140" s="33" t="s">
        <v>338</v>
      </c>
      <c r="O140" s="32">
        <f t="shared" si="2"/>
        <v>27232</v>
      </c>
    </row>
    <row r="141" spans="1:15" x14ac:dyDescent="0.3">
      <c r="A141" s="13" t="s">
        <v>193</v>
      </c>
      <c r="B141" s="8" t="s">
        <v>194</v>
      </c>
      <c r="C141" s="8">
        <v>4.5</v>
      </c>
      <c r="D141" s="11">
        <v>3457</v>
      </c>
      <c r="E141" s="9">
        <v>14</v>
      </c>
      <c r="F141" s="8">
        <v>2009</v>
      </c>
      <c r="G141" s="8" t="s">
        <v>9</v>
      </c>
      <c r="M141" s="33" t="s">
        <v>340</v>
      </c>
      <c r="O141" s="32">
        <f t="shared" si="2"/>
        <v>85800</v>
      </c>
    </row>
    <row r="142" spans="1:15" x14ac:dyDescent="0.3">
      <c r="A142" s="13" t="s">
        <v>193</v>
      </c>
      <c r="B142" s="8" t="s">
        <v>194</v>
      </c>
      <c r="C142" s="8">
        <v>4.5</v>
      </c>
      <c r="D142" s="11">
        <v>3457</v>
      </c>
      <c r="E142" s="9">
        <v>14</v>
      </c>
      <c r="F142" s="8">
        <v>2010</v>
      </c>
      <c r="G142" s="8" t="s">
        <v>9</v>
      </c>
      <c r="M142" s="33" t="s">
        <v>342</v>
      </c>
      <c r="O142" s="32">
        <f t="shared" si="2"/>
        <v>4757</v>
      </c>
    </row>
    <row r="143" spans="1:15" x14ac:dyDescent="0.3">
      <c r="A143" s="13" t="s">
        <v>193</v>
      </c>
      <c r="B143" s="8" t="s">
        <v>194</v>
      </c>
      <c r="C143" s="8">
        <v>4.5</v>
      </c>
      <c r="D143" s="11">
        <v>3457</v>
      </c>
      <c r="E143" s="9">
        <v>14</v>
      </c>
      <c r="F143" s="8">
        <v>2011</v>
      </c>
      <c r="G143" s="8" t="s">
        <v>9</v>
      </c>
      <c r="M143" s="33" t="s">
        <v>344</v>
      </c>
      <c r="O143" s="32">
        <f t="shared" si="2"/>
        <v>20018</v>
      </c>
    </row>
    <row r="144" spans="1:15" x14ac:dyDescent="0.3">
      <c r="A144" s="13" t="s">
        <v>193</v>
      </c>
      <c r="B144" s="8" t="s">
        <v>194</v>
      </c>
      <c r="C144" s="8">
        <v>4.5</v>
      </c>
      <c r="D144" s="11">
        <v>3457</v>
      </c>
      <c r="E144" s="9">
        <v>14</v>
      </c>
      <c r="F144" s="8">
        <v>2012</v>
      </c>
      <c r="G144" s="8" t="s">
        <v>9</v>
      </c>
      <c r="M144" s="33" t="s">
        <v>346</v>
      </c>
      <c r="O144" s="32">
        <f t="shared" si="2"/>
        <v>3970</v>
      </c>
    </row>
    <row r="145" spans="1:15" x14ac:dyDescent="0.3">
      <c r="A145" s="13" t="s">
        <v>195</v>
      </c>
      <c r="B145" s="8" t="s">
        <v>196</v>
      </c>
      <c r="C145" s="8">
        <v>4.8</v>
      </c>
      <c r="D145" s="11">
        <v>8837</v>
      </c>
      <c r="E145" s="9">
        <v>5</v>
      </c>
      <c r="F145" s="8">
        <v>2017</v>
      </c>
      <c r="G145" s="8" t="s">
        <v>12</v>
      </c>
      <c r="M145" s="33" t="s">
        <v>348</v>
      </c>
      <c r="O145" s="32">
        <f t="shared" si="2"/>
        <v>45072</v>
      </c>
    </row>
    <row r="146" spans="1:15" x14ac:dyDescent="0.3">
      <c r="A146" s="13" t="s">
        <v>195</v>
      </c>
      <c r="B146" s="8" t="s">
        <v>196</v>
      </c>
      <c r="C146" s="8">
        <v>4.8</v>
      </c>
      <c r="D146" s="11">
        <v>8837</v>
      </c>
      <c r="E146" s="9">
        <v>5</v>
      </c>
      <c r="F146" s="8">
        <v>2018</v>
      </c>
      <c r="G146" s="8" t="s">
        <v>12</v>
      </c>
      <c r="M146" s="33" t="s">
        <v>350</v>
      </c>
      <c r="O146" s="32">
        <f t="shared" si="2"/>
        <v>10986</v>
      </c>
    </row>
    <row r="147" spans="1:15" x14ac:dyDescent="0.3">
      <c r="A147" s="13" t="s">
        <v>195</v>
      </c>
      <c r="B147" s="8" t="s">
        <v>196</v>
      </c>
      <c r="C147" s="8">
        <v>4.8</v>
      </c>
      <c r="D147" s="11">
        <v>8837</v>
      </c>
      <c r="E147" s="9">
        <v>5</v>
      </c>
      <c r="F147" s="8">
        <v>2019</v>
      </c>
      <c r="G147" s="8" t="s">
        <v>12</v>
      </c>
      <c r="M147" s="33" t="s">
        <v>353</v>
      </c>
      <c r="O147" s="32">
        <f t="shared" si="2"/>
        <v>15604</v>
      </c>
    </row>
    <row r="148" spans="1:15" x14ac:dyDescent="0.3">
      <c r="A148" s="13" t="s">
        <v>197</v>
      </c>
      <c r="B148" s="8" t="s">
        <v>198</v>
      </c>
      <c r="C148" s="8">
        <v>4.9000000000000004</v>
      </c>
      <c r="D148" s="11">
        <v>7038</v>
      </c>
      <c r="E148" s="9">
        <v>7</v>
      </c>
      <c r="F148" s="8">
        <v>2012</v>
      </c>
      <c r="G148" s="8" t="s">
        <v>12</v>
      </c>
      <c r="M148" s="33" t="s">
        <v>355</v>
      </c>
      <c r="O148" s="32">
        <f t="shared" si="2"/>
        <v>3619</v>
      </c>
    </row>
    <row r="149" spans="1:15" x14ac:dyDescent="0.3">
      <c r="A149" s="13" t="s">
        <v>197</v>
      </c>
      <c r="B149" s="8" t="s">
        <v>198</v>
      </c>
      <c r="C149" s="8">
        <v>4.9000000000000004</v>
      </c>
      <c r="D149" s="11">
        <v>7038</v>
      </c>
      <c r="E149" s="9">
        <v>7</v>
      </c>
      <c r="F149" s="8">
        <v>2013</v>
      </c>
      <c r="G149" s="8" t="s">
        <v>12</v>
      </c>
      <c r="M149" s="33" t="s">
        <v>357</v>
      </c>
      <c r="O149" s="32">
        <f t="shared" si="2"/>
        <v>46094</v>
      </c>
    </row>
    <row r="150" spans="1:15" x14ac:dyDescent="0.3">
      <c r="A150" s="13" t="s">
        <v>199</v>
      </c>
      <c r="B150" s="8" t="s">
        <v>200</v>
      </c>
      <c r="C150" s="8">
        <v>4.5999999999999996</v>
      </c>
      <c r="D150" s="11">
        <v>5972</v>
      </c>
      <c r="E150" s="9">
        <v>10</v>
      </c>
      <c r="F150" s="8">
        <v>2014</v>
      </c>
      <c r="G150" s="8" t="s">
        <v>9</v>
      </c>
      <c r="M150" s="33" t="s">
        <v>360</v>
      </c>
      <c r="O150" s="32">
        <f t="shared" si="2"/>
        <v>1265</v>
      </c>
    </row>
    <row r="151" spans="1:15" x14ac:dyDescent="0.3">
      <c r="A151" s="13" t="s">
        <v>201</v>
      </c>
      <c r="B151" s="8" t="s">
        <v>157</v>
      </c>
      <c r="C151" s="8">
        <v>4.4000000000000004</v>
      </c>
      <c r="D151" s="11">
        <v>25624</v>
      </c>
      <c r="E151" s="9">
        <v>14</v>
      </c>
      <c r="F151" s="8">
        <v>2015</v>
      </c>
      <c r="G151" s="8" t="s">
        <v>12</v>
      </c>
      <c r="M151" s="33" t="s">
        <v>362</v>
      </c>
      <c r="O151" s="32">
        <f t="shared" si="2"/>
        <v>3923</v>
      </c>
    </row>
    <row r="152" spans="1:15" x14ac:dyDescent="0.3">
      <c r="A152" s="13" t="s">
        <v>202</v>
      </c>
      <c r="B152" s="8" t="s">
        <v>203</v>
      </c>
      <c r="C152" s="8">
        <v>4.8</v>
      </c>
      <c r="D152" s="11">
        <v>5476</v>
      </c>
      <c r="E152" s="9">
        <v>7</v>
      </c>
      <c r="F152" s="8">
        <v>2019</v>
      </c>
      <c r="G152" s="8" t="s">
        <v>9</v>
      </c>
      <c r="M152" s="33" t="s">
        <v>364</v>
      </c>
      <c r="O152" s="32">
        <f t="shared" si="2"/>
        <v>2272</v>
      </c>
    </row>
    <row r="153" spans="1:15" x14ac:dyDescent="0.3">
      <c r="A153" s="13" t="s">
        <v>204</v>
      </c>
      <c r="B153" s="8" t="s">
        <v>205</v>
      </c>
      <c r="C153" s="8">
        <v>4.9000000000000004</v>
      </c>
      <c r="D153" s="11">
        <v>5867</v>
      </c>
      <c r="E153" s="9">
        <v>54</v>
      </c>
      <c r="F153" s="8">
        <v>2016</v>
      </c>
      <c r="G153" s="8" t="s">
        <v>9</v>
      </c>
      <c r="M153" s="33" t="s">
        <v>369</v>
      </c>
      <c r="O153" s="32">
        <f t="shared" si="2"/>
        <v>9382</v>
      </c>
    </row>
    <row r="154" spans="1:15" x14ac:dyDescent="0.3">
      <c r="A154" s="13" t="s">
        <v>206</v>
      </c>
      <c r="B154" s="8" t="s">
        <v>207</v>
      </c>
      <c r="C154" s="8">
        <v>4.8</v>
      </c>
      <c r="D154" s="11">
        <v>4148</v>
      </c>
      <c r="E154" s="9">
        <v>11</v>
      </c>
      <c r="F154" s="8">
        <v>2013</v>
      </c>
      <c r="G154" s="8" t="s">
        <v>9</v>
      </c>
      <c r="M154" s="33" t="s">
        <v>371</v>
      </c>
      <c r="O154" s="32">
        <f t="shared" si="2"/>
        <v>45621</v>
      </c>
    </row>
    <row r="155" spans="1:15" x14ac:dyDescent="0.3">
      <c r="A155" s="13" t="s">
        <v>208</v>
      </c>
      <c r="B155" s="8" t="s">
        <v>153</v>
      </c>
      <c r="C155" s="8">
        <v>4.9000000000000004</v>
      </c>
      <c r="D155" s="11">
        <v>19622</v>
      </c>
      <c r="E155" s="9">
        <v>30</v>
      </c>
      <c r="F155" s="8">
        <v>2016</v>
      </c>
      <c r="G155" s="8" t="s">
        <v>12</v>
      </c>
      <c r="M155" s="33" t="s">
        <v>373</v>
      </c>
      <c r="O155" s="32">
        <f t="shared" si="2"/>
        <v>1583</v>
      </c>
    </row>
    <row r="156" spans="1:15" x14ac:dyDescent="0.3">
      <c r="A156" s="13" t="s">
        <v>209</v>
      </c>
      <c r="B156" s="8" t="s">
        <v>153</v>
      </c>
      <c r="C156" s="8">
        <v>4</v>
      </c>
      <c r="D156" s="11">
        <v>23973</v>
      </c>
      <c r="E156" s="9">
        <v>12</v>
      </c>
      <c r="F156" s="8">
        <v>2016</v>
      </c>
      <c r="G156" s="8" t="s">
        <v>12</v>
      </c>
      <c r="M156" s="33" t="s">
        <v>375</v>
      </c>
      <c r="O156" s="32">
        <f t="shared" si="2"/>
        <v>1907</v>
      </c>
    </row>
    <row r="157" spans="1:15" x14ac:dyDescent="0.3">
      <c r="A157" s="13" t="s">
        <v>210</v>
      </c>
      <c r="B157" s="8" t="s">
        <v>211</v>
      </c>
      <c r="C157" s="8">
        <v>4.9000000000000004</v>
      </c>
      <c r="D157" s="11">
        <v>7758</v>
      </c>
      <c r="E157" s="9">
        <v>18</v>
      </c>
      <c r="F157" s="8">
        <v>2019</v>
      </c>
      <c r="G157" s="8" t="s">
        <v>12</v>
      </c>
      <c r="M157" s="33" t="s">
        <v>377</v>
      </c>
      <c r="O157" s="32">
        <f t="shared" si="2"/>
        <v>60961</v>
      </c>
    </row>
    <row r="158" spans="1:15" x14ac:dyDescent="0.3">
      <c r="A158" s="13" t="s">
        <v>212</v>
      </c>
      <c r="B158" s="8" t="s">
        <v>153</v>
      </c>
      <c r="C158" s="8">
        <v>4.9000000000000004</v>
      </c>
      <c r="D158" s="11">
        <v>3146</v>
      </c>
      <c r="E158" s="9">
        <v>30</v>
      </c>
      <c r="F158" s="8">
        <v>2017</v>
      </c>
      <c r="G158" s="8" t="s">
        <v>12</v>
      </c>
      <c r="M158" s="33" t="s">
        <v>379</v>
      </c>
      <c r="O158" s="32">
        <f t="shared" si="2"/>
        <v>1274</v>
      </c>
    </row>
    <row r="159" spans="1:15" x14ac:dyDescent="0.3">
      <c r="A159" s="13" t="s">
        <v>213</v>
      </c>
      <c r="B159" s="8" t="s">
        <v>153</v>
      </c>
      <c r="C159" s="8">
        <v>4.9000000000000004</v>
      </c>
      <c r="D159" s="11">
        <v>10052</v>
      </c>
      <c r="E159" s="9">
        <v>22</v>
      </c>
      <c r="F159" s="8">
        <v>2016</v>
      </c>
      <c r="G159" s="8" t="s">
        <v>12</v>
      </c>
      <c r="M159" s="33" t="s">
        <v>381</v>
      </c>
      <c r="O159" s="32">
        <f t="shared" si="2"/>
        <v>2314</v>
      </c>
    </row>
    <row r="160" spans="1:15" x14ac:dyDescent="0.3">
      <c r="A160" s="13" t="s">
        <v>214</v>
      </c>
      <c r="B160" s="8" t="s">
        <v>215</v>
      </c>
      <c r="C160" s="8">
        <v>4.7</v>
      </c>
      <c r="D160" s="11">
        <v>3564</v>
      </c>
      <c r="E160" s="9">
        <v>9</v>
      </c>
      <c r="F160" s="8">
        <v>2015</v>
      </c>
      <c r="G160" s="8" t="s">
        <v>9</v>
      </c>
      <c r="M160" s="33" t="s">
        <v>383</v>
      </c>
      <c r="O160" s="32">
        <f t="shared" si="2"/>
        <v>8947</v>
      </c>
    </row>
    <row r="161" spans="1:15" x14ac:dyDescent="0.3">
      <c r="A161" s="13" t="s">
        <v>216</v>
      </c>
      <c r="B161" s="8" t="s">
        <v>211</v>
      </c>
      <c r="C161" s="8">
        <v>4.8</v>
      </c>
      <c r="D161" s="11">
        <v>13471</v>
      </c>
      <c r="E161" s="9">
        <v>52</v>
      </c>
      <c r="F161" s="8">
        <v>2016</v>
      </c>
      <c r="G161" s="8" t="s">
        <v>12</v>
      </c>
      <c r="M161" s="33" t="s">
        <v>385</v>
      </c>
      <c r="O161" s="32">
        <f t="shared" si="2"/>
        <v>145958</v>
      </c>
    </row>
    <row r="162" spans="1:15" x14ac:dyDescent="0.3">
      <c r="A162" s="13" t="s">
        <v>217</v>
      </c>
      <c r="B162" s="8" t="s">
        <v>218</v>
      </c>
      <c r="C162" s="8">
        <v>4.8</v>
      </c>
      <c r="D162" s="11">
        <v>1930</v>
      </c>
      <c r="E162" s="9">
        <v>4</v>
      </c>
      <c r="F162" s="8">
        <v>2009</v>
      </c>
      <c r="G162" s="8" t="s">
        <v>9</v>
      </c>
      <c r="M162" s="33" t="s">
        <v>388</v>
      </c>
      <c r="O162" s="32">
        <f t="shared" si="2"/>
        <v>1680</v>
      </c>
    </row>
    <row r="163" spans="1:15" x14ac:dyDescent="0.3">
      <c r="A163" s="13" t="s">
        <v>219</v>
      </c>
      <c r="B163" s="8" t="s">
        <v>220</v>
      </c>
      <c r="C163" s="8">
        <v>4.7</v>
      </c>
      <c r="D163" s="11">
        <v>15779</v>
      </c>
      <c r="E163" s="9">
        <v>10</v>
      </c>
      <c r="F163" s="8">
        <v>2011</v>
      </c>
      <c r="G163" s="8" t="s">
        <v>9</v>
      </c>
      <c r="M163" s="33" t="s">
        <v>390</v>
      </c>
      <c r="O163" s="32">
        <f t="shared" si="2"/>
        <v>51475</v>
      </c>
    </row>
    <row r="164" spans="1:15" x14ac:dyDescent="0.3">
      <c r="A164" s="13" t="s">
        <v>219</v>
      </c>
      <c r="B164" s="8" t="s">
        <v>220</v>
      </c>
      <c r="C164" s="8">
        <v>4.7</v>
      </c>
      <c r="D164" s="11">
        <v>15779</v>
      </c>
      <c r="E164" s="9">
        <v>10</v>
      </c>
      <c r="F164" s="8">
        <v>2012</v>
      </c>
      <c r="G164" s="8" t="s">
        <v>9</v>
      </c>
      <c r="M164" s="33" t="s">
        <v>392</v>
      </c>
      <c r="O164" s="32">
        <f t="shared" si="2"/>
        <v>35799</v>
      </c>
    </row>
    <row r="165" spans="1:15" x14ac:dyDescent="0.3">
      <c r="A165" s="13" t="s">
        <v>221</v>
      </c>
      <c r="B165" s="8" t="s">
        <v>222</v>
      </c>
      <c r="C165" s="8">
        <v>4.4000000000000004</v>
      </c>
      <c r="D165" s="11">
        <v>15526</v>
      </c>
      <c r="E165" s="9">
        <v>14</v>
      </c>
      <c r="F165" s="8">
        <v>2016</v>
      </c>
      <c r="G165" s="8" t="s">
        <v>9</v>
      </c>
      <c r="M165" s="33" t="s">
        <v>394</v>
      </c>
      <c r="O165" s="32">
        <f t="shared" si="2"/>
        <v>2580</v>
      </c>
    </row>
    <row r="166" spans="1:15" x14ac:dyDescent="0.3">
      <c r="A166" s="13" t="s">
        <v>221</v>
      </c>
      <c r="B166" s="8" t="s">
        <v>222</v>
      </c>
      <c r="C166" s="8">
        <v>4.4000000000000004</v>
      </c>
      <c r="D166" s="11">
        <v>15526</v>
      </c>
      <c r="E166" s="9">
        <v>14</v>
      </c>
      <c r="F166" s="8">
        <v>2017</v>
      </c>
      <c r="G166" s="8" t="s">
        <v>9</v>
      </c>
      <c r="M166" s="33" t="s">
        <v>396</v>
      </c>
      <c r="O166" s="32">
        <f t="shared" si="2"/>
        <v>23626</v>
      </c>
    </row>
    <row r="167" spans="1:15" x14ac:dyDescent="0.3">
      <c r="A167" s="13" t="s">
        <v>223</v>
      </c>
      <c r="B167" s="8" t="s">
        <v>224</v>
      </c>
      <c r="C167" s="8">
        <v>4.8</v>
      </c>
      <c r="D167" s="11">
        <v>3776</v>
      </c>
      <c r="E167" s="9">
        <v>22</v>
      </c>
      <c r="F167" s="8">
        <v>2018</v>
      </c>
      <c r="G167" s="8" t="s">
        <v>9</v>
      </c>
      <c r="M167" s="33" t="s">
        <v>398</v>
      </c>
      <c r="O167" s="32">
        <f t="shared" si="2"/>
        <v>3536</v>
      </c>
    </row>
    <row r="168" spans="1:15" x14ac:dyDescent="0.3">
      <c r="A168" s="13" t="s">
        <v>225</v>
      </c>
      <c r="B168" s="8" t="s">
        <v>226</v>
      </c>
      <c r="C168" s="8">
        <v>4.7</v>
      </c>
      <c r="D168" s="11">
        <v>25001</v>
      </c>
      <c r="E168" s="9">
        <v>11</v>
      </c>
      <c r="F168" s="8">
        <v>2014</v>
      </c>
      <c r="G168" s="8" t="s">
        <v>9</v>
      </c>
      <c r="M168" s="33" t="s">
        <v>401</v>
      </c>
      <c r="O168" s="32">
        <f t="shared" si="2"/>
        <v>1789</v>
      </c>
    </row>
    <row r="169" spans="1:15" x14ac:dyDescent="0.3">
      <c r="A169" s="13" t="s">
        <v>225</v>
      </c>
      <c r="B169" s="8" t="s">
        <v>226</v>
      </c>
      <c r="C169" s="8">
        <v>4.7</v>
      </c>
      <c r="D169" s="11">
        <v>25001</v>
      </c>
      <c r="E169" s="9">
        <v>11</v>
      </c>
      <c r="F169" s="8">
        <v>2015</v>
      </c>
      <c r="G169" s="8" t="s">
        <v>9</v>
      </c>
      <c r="M169" s="33" t="s">
        <v>403</v>
      </c>
      <c r="O169" s="32">
        <f t="shared" si="2"/>
        <v>12361</v>
      </c>
    </row>
    <row r="170" spans="1:15" x14ac:dyDescent="0.3">
      <c r="A170" s="13" t="s">
        <v>225</v>
      </c>
      <c r="B170" s="8" t="s">
        <v>226</v>
      </c>
      <c r="C170" s="8">
        <v>4.7</v>
      </c>
      <c r="D170" s="11">
        <v>25001</v>
      </c>
      <c r="E170" s="9">
        <v>11</v>
      </c>
      <c r="F170" s="8">
        <v>2016</v>
      </c>
      <c r="G170" s="8" t="s">
        <v>9</v>
      </c>
      <c r="M170" s="33" t="s">
        <v>405</v>
      </c>
      <c r="O170" s="32">
        <f t="shared" si="2"/>
        <v>858</v>
      </c>
    </row>
    <row r="171" spans="1:15" x14ac:dyDescent="0.3">
      <c r="A171" s="13" t="s">
        <v>225</v>
      </c>
      <c r="B171" s="8" t="s">
        <v>226</v>
      </c>
      <c r="C171" s="8">
        <v>4.7</v>
      </c>
      <c r="D171" s="11">
        <v>25001</v>
      </c>
      <c r="E171" s="9">
        <v>11</v>
      </c>
      <c r="F171" s="8">
        <v>2017</v>
      </c>
      <c r="G171" s="8" t="s">
        <v>9</v>
      </c>
      <c r="M171" s="33" t="s">
        <v>407</v>
      </c>
      <c r="O171" s="32">
        <f t="shared" si="2"/>
        <v>46296</v>
      </c>
    </row>
    <row r="172" spans="1:15" x14ac:dyDescent="0.3">
      <c r="A172" s="13" t="s">
        <v>225</v>
      </c>
      <c r="B172" s="8" t="s">
        <v>226</v>
      </c>
      <c r="C172" s="8">
        <v>4.7</v>
      </c>
      <c r="D172" s="11">
        <v>25001</v>
      </c>
      <c r="E172" s="9">
        <v>11</v>
      </c>
      <c r="F172" s="8">
        <v>2018</v>
      </c>
      <c r="G172" s="8" t="s">
        <v>9</v>
      </c>
      <c r="M172" s="33" t="s">
        <v>409</v>
      </c>
      <c r="O172" s="32">
        <f t="shared" si="2"/>
        <v>16162</v>
      </c>
    </row>
    <row r="173" spans="1:15" x14ac:dyDescent="0.3">
      <c r="A173" s="13" t="s">
        <v>227</v>
      </c>
      <c r="B173" s="8" t="s">
        <v>228</v>
      </c>
      <c r="C173" s="8">
        <v>4.3</v>
      </c>
      <c r="D173" s="11">
        <v>5272</v>
      </c>
      <c r="E173" s="9">
        <v>16</v>
      </c>
      <c r="F173" s="8">
        <v>2019</v>
      </c>
      <c r="G173" s="8" t="s">
        <v>9</v>
      </c>
      <c r="M173" s="33" t="s">
        <v>411</v>
      </c>
      <c r="O173" s="32">
        <f t="shared" si="2"/>
        <v>46716</v>
      </c>
    </row>
    <row r="174" spans="1:15" x14ac:dyDescent="0.3">
      <c r="A174" s="13" t="s">
        <v>229</v>
      </c>
      <c r="B174" s="8" t="s">
        <v>230</v>
      </c>
      <c r="C174" s="8">
        <v>4.8</v>
      </c>
      <c r="D174" s="11">
        <v>3490</v>
      </c>
      <c r="E174" s="9">
        <v>15</v>
      </c>
      <c r="F174" s="8">
        <v>2013</v>
      </c>
      <c r="G174" s="8" t="s">
        <v>9</v>
      </c>
      <c r="M174" s="33" t="s">
        <v>414</v>
      </c>
      <c r="O174" s="32">
        <f t="shared" si="2"/>
        <v>4633</v>
      </c>
    </row>
    <row r="175" spans="1:15" x14ac:dyDescent="0.3">
      <c r="A175" s="13" t="s">
        <v>229</v>
      </c>
      <c r="B175" s="8" t="s">
        <v>230</v>
      </c>
      <c r="C175" s="8">
        <v>4.8</v>
      </c>
      <c r="D175" s="11">
        <v>3490</v>
      </c>
      <c r="E175" s="9">
        <v>15</v>
      </c>
      <c r="F175" s="8">
        <v>2014</v>
      </c>
      <c r="G175" s="8" t="s">
        <v>9</v>
      </c>
      <c r="M175" s="33" t="s">
        <v>416</v>
      </c>
      <c r="O175" s="32">
        <f t="shared" si="2"/>
        <v>26122</v>
      </c>
    </row>
    <row r="176" spans="1:15" x14ac:dyDescent="0.3">
      <c r="A176" s="13" t="s">
        <v>231</v>
      </c>
      <c r="B176" s="8" t="s">
        <v>230</v>
      </c>
      <c r="C176" s="8">
        <v>4.9000000000000004</v>
      </c>
      <c r="D176" s="11">
        <v>2812</v>
      </c>
      <c r="E176" s="9">
        <v>17</v>
      </c>
      <c r="F176" s="8">
        <v>2015</v>
      </c>
      <c r="G176" s="8" t="s">
        <v>9</v>
      </c>
      <c r="M176" s="33" t="s">
        <v>419</v>
      </c>
      <c r="O176" s="32">
        <f t="shared" si="2"/>
        <v>2774</v>
      </c>
    </row>
    <row r="177" spans="1:15" x14ac:dyDescent="0.3">
      <c r="A177" s="13" t="s">
        <v>232</v>
      </c>
      <c r="B177" s="8" t="s">
        <v>233</v>
      </c>
      <c r="C177" s="8">
        <v>4.7</v>
      </c>
      <c r="D177" s="11">
        <v>4896</v>
      </c>
      <c r="E177" s="9">
        <v>17</v>
      </c>
      <c r="F177" s="8">
        <v>2013</v>
      </c>
      <c r="G177" s="8" t="s">
        <v>9</v>
      </c>
      <c r="M177" s="33" t="s">
        <v>421</v>
      </c>
      <c r="O177" s="32">
        <f t="shared" si="2"/>
        <v>440</v>
      </c>
    </row>
    <row r="178" spans="1:15" x14ac:dyDescent="0.3">
      <c r="A178" s="13" t="s">
        <v>234</v>
      </c>
      <c r="B178" s="8" t="s">
        <v>235</v>
      </c>
      <c r="C178" s="8">
        <v>4.8</v>
      </c>
      <c r="D178" s="11">
        <v>9737</v>
      </c>
      <c r="E178" s="9">
        <v>7</v>
      </c>
      <c r="F178" s="8">
        <v>2019</v>
      </c>
      <c r="G178" s="8" t="s">
        <v>9</v>
      </c>
      <c r="M178" s="33" t="s">
        <v>423</v>
      </c>
      <c r="O178" s="32">
        <f t="shared" si="2"/>
        <v>26766</v>
      </c>
    </row>
    <row r="179" spans="1:15" x14ac:dyDescent="0.3">
      <c r="A179" s="13" t="s">
        <v>236</v>
      </c>
      <c r="B179" s="8" t="s">
        <v>237</v>
      </c>
      <c r="C179" s="8">
        <v>4.5999999999999996</v>
      </c>
      <c r="D179" s="11">
        <v>1320</v>
      </c>
      <c r="E179" s="9">
        <v>7</v>
      </c>
      <c r="F179" s="8">
        <v>2009</v>
      </c>
      <c r="G179" s="8" t="s">
        <v>12</v>
      </c>
      <c r="M179" s="33" t="s">
        <v>425</v>
      </c>
      <c r="O179" s="32">
        <f t="shared" si="2"/>
        <v>2023</v>
      </c>
    </row>
    <row r="180" spans="1:15" x14ac:dyDescent="0.3">
      <c r="A180" s="13" t="s">
        <v>238</v>
      </c>
      <c r="B180" s="8" t="s">
        <v>239</v>
      </c>
      <c r="C180" s="8">
        <v>4.8</v>
      </c>
      <c r="D180" s="11">
        <v>16643</v>
      </c>
      <c r="E180" s="9">
        <v>4</v>
      </c>
      <c r="F180" s="8">
        <v>2017</v>
      </c>
      <c r="G180" s="8" t="s">
        <v>12</v>
      </c>
      <c r="M180" s="33" t="s">
        <v>427</v>
      </c>
      <c r="O180" s="32">
        <f t="shared" si="2"/>
        <v>1859</v>
      </c>
    </row>
    <row r="181" spans="1:15" x14ac:dyDescent="0.3">
      <c r="A181" s="13" t="s">
        <v>238</v>
      </c>
      <c r="B181" s="8" t="s">
        <v>239</v>
      </c>
      <c r="C181" s="8">
        <v>4.8</v>
      </c>
      <c r="D181" s="11">
        <v>16643</v>
      </c>
      <c r="E181" s="9">
        <v>4</v>
      </c>
      <c r="F181" s="8">
        <v>2019</v>
      </c>
      <c r="G181" s="8" t="s">
        <v>12</v>
      </c>
      <c r="M181" s="33" t="s">
        <v>430</v>
      </c>
      <c r="O181" s="32">
        <f t="shared" si="2"/>
        <v>16035</v>
      </c>
    </row>
    <row r="182" spans="1:15" x14ac:dyDescent="0.3">
      <c r="A182" s="13" t="s">
        <v>240</v>
      </c>
      <c r="B182" s="8" t="s">
        <v>241</v>
      </c>
      <c r="C182" s="8">
        <v>4.3</v>
      </c>
      <c r="D182" s="11">
        <v>7153</v>
      </c>
      <c r="E182" s="9">
        <v>9</v>
      </c>
      <c r="F182" s="8">
        <v>2014</v>
      </c>
      <c r="G182" s="8" t="s">
        <v>12</v>
      </c>
      <c r="M182" s="33" t="s">
        <v>433</v>
      </c>
      <c r="O182" s="32">
        <f t="shared" si="2"/>
        <v>139848</v>
      </c>
    </row>
    <row r="183" spans="1:15" x14ac:dyDescent="0.3">
      <c r="A183" s="13" t="s">
        <v>242</v>
      </c>
      <c r="B183" s="8" t="s">
        <v>243</v>
      </c>
      <c r="C183" s="8">
        <v>4.4000000000000004</v>
      </c>
      <c r="D183" s="11">
        <v>4571</v>
      </c>
      <c r="E183" s="9">
        <v>21</v>
      </c>
      <c r="F183" s="8">
        <v>2011</v>
      </c>
      <c r="G183" s="8" t="s">
        <v>9</v>
      </c>
      <c r="M183" s="33" t="s">
        <v>436</v>
      </c>
      <c r="O183" s="32">
        <f t="shared" si="2"/>
        <v>158892</v>
      </c>
    </row>
    <row r="184" spans="1:15" x14ac:dyDescent="0.3">
      <c r="A184" s="13" t="s">
        <v>244</v>
      </c>
      <c r="B184" s="8" t="s">
        <v>245</v>
      </c>
      <c r="C184" s="8">
        <v>4.0999999999999996</v>
      </c>
      <c r="D184" s="11">
        <v>29651</v>
      </c>
      <c r="E184" s="9">
        <v>14</v>
      </c>
      <c r="F184" s="8">
        <v>2013</v>
      </c>
      <c r="G184" s="8" t="s">
        <v>12</v>
      </c>
      <c r="M184" s="33" t="s">
        <v>438</v>
      </c>
      <c r="O184" s="32">
        <f t="shared" si="2"/>
        <v>51114</v>
      </c>
    </row>
    <row r="185" spans="1:15" x14ac:dyDescent="0.3">
      <c r="A185" s="13" t="s">
        <v>246</v>
      </c>
      <c r="B185" s="8" t="s">
        <v>247</v>
      </c>
      <c r="C185" s="8">
        <v>4.5999999999999996</v>
      </c>
      <c r="D185" s="11">
        <v>5299</v>
      </c>
      <c r="E185" s="9">
        <v>20</v>
      </c>
      <c r="F185" s="8">
        <v>2011</v>
      </c>
      <c r="G185" s="8" t="s">
        <v>12</v>
      </c>
      <c r="M185" s="33" t="s">
        <v>443</v>
      </c>
      <c r="O185" s="32">
        <f t="shared" si="2"/>
        <v>10498</v>
      </c>
    </row>
    <row r="186" spans="1:15" x14ac:dyDescent="0.3">
      <c r="A186" s="13" t="s">
        <v>248</v>
      </c>
      <c r="B186" s="8" t="s">
        <v>249</v>
      </c>
      <c r="C186" s="8">
        <v>4.4000000000000004</v>
      </c>
      <c r="D186" s="11">
        <v>7396</v>
      </c>
      <c r="E186" s="9">
        <v>13</v>
      </c>
      <c r="F186" s="8">
        <v>2019</v>
      </c>
      <c r="G186" s="8" t="s">
        <v>9</v>
      </c>
      <c r="M186" s="33" t="s">
        <v>445</v>
      </c>
      <c r="O186" s="32">
        <f t="shared" si="2"/>
        <v>67688</v>
      </c>
    </row>
    <row r="187" spans="1:15" x14ac:dyDescent="0.3">
      <c r="A187" s="13" t="s">
        <v>248</v>
      </c>
      <c r="B187" s="8" t="s">
        <v>249</v>
      </c>
      <c r="C187" s="8">
        <v>4.4000000000000004</v>
      </c>
      <c r="D187" s="11">
        <v>7396</v>
      </c>
      <c r="E187" s="9">
        <v>13</v>
      </c>
      <c r="F187" s="8">
        <v>2018</v>
      </c>
      <c r="G187" s="8" t="s">
        <v>9</v>
      </c>
      <c r="M187" s="33" t="s">
        <v>447</v>
      </c>
      <c r="O187" s="32">
        <f t="shared" si="2"/>
        <v>34848</v>
      </c>
    </row>
    <row r="188" spans="1:15" x14ac:dyDescent="0.3">
      <c r="A188" s="13" t="s">
        <v>250</v>
      </c>
      <c r="B188" s="8" t="s">
        <v>251</v>
      </c>
      <c r="C188" s="8">
        <v>4.8</v>
      </c>
      <c r="D188" s="11">
        <v>7062</v>
      </c>
      <c r="E188" s="9">
        <v>12</v>
      </c>
      <c r="F188" s="8">
        <v>2019</v>
      </c>
      <c r="G188" s="8" t="s">
        <v>9</v>
      </c>
      <c r="M188" s="33" t="s">
        <v>450</v>
      </c>
      <c r="O188" s="32">
        <f t="shared" si="2"/>
        <v>8587</v>
      </c>
    </row>
    <row r="189" spans="1:15" x14ac:dyDescent="0.3">
      <c r="A189" s="13" t="s">
        <v>252</v>
      </c>
      <c r="B189" s="8" t="s">
        <v>253</v>
      </c>
      <c r="C189" s="8">
        <v>4.9000000000000004</v>
      </c>
      <c r="D189" s="11">
        <v>19576</v>
      </c>
      <c r="E189" s="9">
        <v>8</v>
      </c>
      <c r="F189" s="8">
        <v>2011</v>
      </c>
      <c r="G189" s="8" t="s">
        <v>9</v>
      </c>
      <c r="M189" s="33" t="s">
        <v>452</v>
      </c>
      <c r="O189" s="32">
        <f t="shared" si="2"/>
        <v>29442</v>
      </c>
    </row>
    <row r="190" spans="1:15" x14ac:dyDescent="0.3">
      <c r="A190" s="13" t="s">
        <v>252</v>
      </c>
      <c r="B190" s="8" t="s">
        <v>253</v>
      </c>
      <c r="C190" s="8">
        <v>4.9000000000000004</v>
      </c>
      <c r="D190" s="11">
        <v>19576</v>
      </c>
      <c r="E190" s="9">
        <v>8</v>
      </c>
      <c r="F190" s="8">
        <v>2012</v>
      </c>
      <c r="G190" s="8" t="s">
        <v>9</v>
      </c>
      <c r="M190" s="33" t="s">
        <v>454</v>
      </c>
      <c r="O190" s="32">
        <f t="shared" si="2"/>
        <v>11098</v>
      </c>
    </row>
    <row r="191" spans="1:15" x14ac:dyDescent="0.3">
      <c r="A191" s="13" t="s">
        <v>252</v>
      </c>
      <c r="B191" s="8" t="s">
        <v>253</v>
      </c>
      <c r="C191" s="8">
        <v>4.9000000000000004</v>
      </c>
      <c r="D191" s="11">
        <v>19576</v>
      </c>
      <c r="E191" s="9">
        <v>8</v>
      </c>
      <c r="F191" s="8">
        <v>2013</v>
      </c>
      <c r="G191" s="8" t="s">
        <v>9</v>
      </c>
      <c r="M191" s="33" t="s">
        <v>456</v>
      </c>
      <c r="O191" s="32">
        <f t="shared" si="2"/>
        <v>9947</v>
      </c>
    </row>
    <row r="192" spans="1:15" x14ac:dyDescent="0.3">
      <c r="A192" s="13" t="s">
        <v>252</v>
      </c>
      <c r="B192" s="8" t="s">
        <v>253</v>
      </c>
      <c r="C192" s="8">
        <v>4.9000000000000004</v>
      </c>
      <c r="D192" s="11">
        <v>19576</v>
      </c>
      <c r="E192" s="9">
        <v>8</v>
      </c>
      <c r="F192" s="8">
        <v>2014</v>
      </c>
      <c r="G192" s="8" t="s">
        <v>9</v>
      </c>
      <c r="M192" s="33" t="s">
        <v>458</v>
      </c>
      <c r="O192" s="32">
        <f t="shared" si="2"/>
        <v>55484</v>
      </c>
    </row>
    <row r="193" spans="1:15" x14ac:dyDescent="0.3">
      <c r="A193" s="13" t="s">
        <v>252</v>
      </c>
      <c r="B193" s="8" t="s">
        <v>253</v>
      </c>
      <c r="C193" s="8">
        <v>4.9000000000000004</v>
      </c>
      <c r="D193" s="11">
        <v>19576</v>
      </c>
      <c r="E193" s="9">
        <v>8</v>
      </c>
      <c r="F193" s="8">
        <v>2015</v>
      </c>
      <c r="G193" s="8" t="s">
        <v>9</v>
      </c>
      <c r="M193" s="33" t="s">
        <v>464</v>
      </c>
      <c r="O193" s="32">
        <f t="shared" si="2"/>
        <v>27867</v>
      </c>
    </row>
    <row r="194" spans="1:15" x14ac:dyDescent="0.3">
      <c r="A194" s="13" t="s">
        <v>252</v>
      </c>
      <c r="B194" s="8" t="s">
        <v>253</v>
      </c>
      <c r="C194" s="8">
        <v>4.9000000000000004</v>
      </c>
      <c r="D194" s="11">
        <v>19576</v>
      </c>
      <c r="E194" s="9">
        <v>8</v>
      </c>
      <c r="F194" s="8">
        <v>2016</v>
      </c>
      <c r="G194" s="8" t="s">
        <v>9</v>
      </c>
      <c r="M194" s="33" t="s">
        <v>466</v>
      </c>
      <c r="O194" s="32">
        <f t="shared" si="2"/>
        <v>14736</v>
      </c>
    </row>
    <row r="195" spans="1:15" x14ac:dyDescent="0.3">
      <c r="A195" s="13" t="s">
        <v>254</v>
      </c>
      <c r="B195" s="8" t="s">
        <v>168</v>
      </c>
      <c r="C195" s="8">
        <v>4.5999999999999996</v>
      </c>
      <c r="D195" s="11">
        <v>978</v>
      </c>
      <c r="E195" s="9">
        <v>8</v>
      </c>
      <c r="F195" s="8">
        <v>2014</v>
      </c>
      <c r="G195" s="8" t="s">
        <v>12</v>
      </c>
      <c r="M195" s="33" t="s">
        <v>468</v>
      </c>
      <c r="O195" s="32">
        <f t="shared" ref="O195:O249" si="3">SUMIF(B:B,M195,D:D)</f>
        <v>4028</v>
      </c>
    </row>
    <row r="196" spans="1:15" x14ac:dyDescent="0.3">
      <c r="A196" s="13" t="s">
        <v>255</v>
      </c>
      <c r="B196" s="8" t="s">
        <v>11</v>
      </c>
      <c r="C196" s="8">
        <v>4.5</v>
      </c>
      <c r="D196" s="11">
        <v>4748</v>
      </c>
      <c r="E196" s="9">
        <v>12</v>
      </c>
      <c r="F196" s="8">
        <v>2013</v>
      </c>
      <c r="G196" s="8" t="s">
        <v>12</v>
      </c>
      <c r="M196" s="33" t="s">
        <v>471</v>
      </c>
      <c r="O196" s="32">
        <f t="shared" si="3"/>
        <v>5396</v>
      </c>
    </row>
    <row r="197" spans="1:15" x14ac:dyDescent="0.3">
      <c r="A197" s="13" t="s">
        <v>256</v>
      </c>
      <c r="B197" s="8" t="s">
        <v>257</v>
      </c>
      <c r="C197" s="8">
        <v>4.5999999999999996</v>
      </c>
      <c r="D197" s="11">
        <v>8393</v>
      </c>
      <c r="E197" s="9">
        <v>17</v>
      </c>
      <c r="F197" s="8">
        <v>2017</v>
      </c>
      <c r="G197" s="8" t="s">
        <v>9</v>
      </c>
      <c r="M197" s="33" t="s">
        <v>473</v>
      </c>
      <c r="O197" s="32">
        <f t="shared" si="3"/>
        <v>8494</v>
      </c>
    </row>
    <row r="198" spans="1:15" x14ac:dyDescent="0.3">
      <c r="A198" s="13" t="s">
        <v>258</v>
      </c>
      <c r="B198" s="8" t="s">
        <v>259</v>
      </c>
      <c r="C198" s="8">
        <v>4.5</v>
      </c>
      <c r="D198" s="11">
        <v>11391</v>
      </c>
      <c r="E198" s="9">
        <v>12</v>
      </c>
      <c r="F198" s="8">
        <v>2013</v>
      </c>
      <c r="G198" s="8" t="s">
        <v>9</v>
      </c>
      <c r="M198" s="33" t="s">
        <v>475</v>
      </c>
      <c r="O198" s="32">
        <f t="shared" si="3"/>
        <v>90564</v>
      </c>
    </row>
    <row r="199" spans="1:15" x14ac:dyDescent="0.3">
      <c r="A199" s="13" t="s">
        <v>260</v>
      </c>
      <c r="B199" s="8" t="s">
        <v>259</v>
      </c>
      <c r="C199" s="8">
        <v>4.5999999999999996</v>
      </c>
      <c r="D199" s="11">
        <v>8634</v>
      </c>
      <c r="E199" s="9">
        <v>25</v>
      </c>
      <c r="F199" s="8">
        <v>2012</v>
      </c>
      <c r="G199" s="8" t="s">
        <v>9</v>
      </c>
      <c r="M199" s="33" t="s">
        <v>480</v>
      </c>
      <c r="O199" s="32">
        <f t="shared" si="3"/>
        <v>1655</v>
      </c>
    </row>
    <row r="200" spans="1:15" x14ac:dyDescent="0.3">
      <c r="A200" s="13" t="s">
        <v>261</v>
      </c>
      <c r="B200" s="8" t="s">
        <v>259</v>
      </c>
      <c r="C200" s="8">
        <v>4.7</v>
      </c>
      <c r="D200" s="11">
        <v>9342</v>
      </c>
      <c r="E200" s="9">
        <v>10</v>
      </c>
      <c r="F200" s="8">
        <v>2011</v>
      </c>
      <c r="G200" s="8" t="s">
        <v>9</v>
      </c>
      <c r="M200" s="33" t="s">
        <v>482</v>
      </c>
      <c r="O200" s="32">
        <f t="shared" si="3"/>
        <v>7861</v>
      </c>
    </row>
    <row r="201" spans="1:15" x14ac:dyDescent="0.3">
      <c r="A201" s="13" t="s">
        <v>261</v>
      </c>
      <c r="B201" s="8" t="s">
        <v>259</v>
      </c>
      <c r="C201" s="8">
        <v>4.7</v>
      </c>
      <c r="D201" s="11">
        <v>9342</v>
      </c>
      <c r="E201" s="9">
        <v>10</v>
      </c>
      <c r="F201" s="8">
        <v>2012</v>
      </c>
      <c r="G201" s="8" t="s">
        <v>9</v>
      </c>
      <c r="M201" s="33" t="s">
        <v>485</v>
      </c>
      <c r="O201" s="32">
        <f t="shared" si="3"/>
        <v>39459</v>
      </c>
    </row>
    <row r="202" spans="1:15" x14ac:dyDescent="0.3">
      <c r="A202" s="13" t="s">
        <v>262</v>
      </c>
      <c r="B202" s="8" t="s">
        <v>259</v>
      </c>
      <c r="C202" s="8">
        <v>4.5999999999999996</v>
      </c>
      <c r="D202" s="11">
        <v>10927</v>
      </c>
      <c r="E202" s="9">
        <v>6</v>
      </c>
      <c r="F202" s="8">
        <v>2014</v>
      </c>
      <c r="G202" s="8" t="s">
        <v>9</v>
      </c>
      <c r="M202" s="33" t="s">
        <v>487</v>
      </c>
      <c r="O202" s="32">
        <f t="shared" si="3"/>
        <v>10101</v>
      </c>
    </row>
    <row r="203" spans="1:15" x14ac:dyDescent="0.3">
      <c r="A203" s="13" t="s">
        <v>263</v>
      </c>
      <c r="B203" s="8" t="s">
        <v>259</v>
      </c>
      <c r="C203" s="8">
        <v>4.5999999999999996</v>
      </c>
      <c r="D203" s="11">
        <v>5235</v>
      </c>
      <c r="E203" s="9">
        <v>5</v>
      </c>
      <c r="F203" s="8">
        <v>2015</v>
      </c>
      <c r="G203" s="8" t="s">
        <v>9</v>
      </c>
      <c r="M203" s="33" t="s">
        <v>490</v>
      </c>
      <c r="O203" s="32">
        <f t="shared" si="3"/>
        <v>2744</v>
      </c>
    </row>
    <row r="204" spans="1:15" x14ac:dyDescent="0.3">
      <c r="A204" s="13" t="s">
        <v>264</v>
      </c>
      <c r="B204" s="8" t="s">
        <v>259</v>
      </c>
      <c r="C204" s="8">
        <v>4.8</v>
      </c>
      <c r="D204" s="11">
        <v>8916</v>
      </c>
      <c r="E204" s="9">
        <v>6</v>
      </c>
      <c r="F204" s="8">
        <v>2016</v>
      </c>
      <c r="G204" s="8" t="s">
        <v>9</v>
      </c>
      <c r="M204" s="33" t="s">
        <v>492</v>
      </c>
      <c r="O204" s="32">
        <f t="shared" si="3"/>
        <v>98576</v>
      </c>
    </row>
    <row r="205" spans="1:15" x14ac:dyDescent="0.3">
      <c r="A205" s="13" t="s">
        <v>265</v>
      </c>
      <c r="B205" s="8" t="s">
        <v>266</v>
      </c>
      <c r="C205" s="8">
        <v>4.8</v>
      </c>
      <c r="D205" s="11">
        <v>2507</v>
      </c>
      <c r="E205" s="9">
        <v>8</v>
      </c>
      <c r="F205" s="8">
        <v>2018</v>
      </c>
      <c r="G205" s="8" t="s">
        <v>9</v>
      </c>
      <c r="M205" s="33" t="s">
        <v>494</v>
      </c>
      <c r="O205" s="32">
        <f t="shared" si="3"/>
        <v>6812</v>
      </c>
    </row>
    <row r="206" spans="1:15" x14ac:dyDescent="0.3">
      <c r="A206" s="13" t="s">
        <v>267</v>
      </c>
      <c r="B206" s="8" t="s">
        <v>268</v>
      </c>
      <c r="C206" s="8">
        <v>4.5</v>
      </c>
      <c r="D206" s="11">
        <v>3673</v>
      </c>
      <c r="E206" s="9">
        <v>4</v>
      </c>
      <c r="F206" s="8">
        <v>2013</v>
      </c>
      <c r="G206" s="8" t="s">
        <v>9</v>
      </c>
      <c r="M206" s="33" t="s">
        <v>497</v>
      </c>
      <c r="O206" s="32">
        <f t="shared" si="3"/>
        <v>3759</v>
      </c>
    </row>
    <row r="207" spans="1:15" x14ac:dyDescent="0.3">
      <c r="A207" s="13" t="s">
        <v>267</v>
      </c>
      <c r="B207" s="8" t="s">
        <v>268</v>
      </c>
      <c r="C207" s="8">
        <v>4.5</v>
      </c>
      <c r="D207" s="11">
        <v>3673</v>
      </c>
      <c r="E207" s="9">
        <v>4</v>
      </c>
      <c r="F207" s="8">
        <v>2014</v>
      </c>
      <c r="G207" s="8" t="s">
        <v>9</v>
      </c>
      <c r="M207" s="33" t="s">
        <v>499</v>
      </c>
      <c r="O207" s="32">
        <f t="shared" si="3"/>
        <v>8967</v>
      </c>
    </row>
    <row r="208" spans="1:15" x14ac:dyDescent="0.3">
      <c r="A208" s="13" t="s">
        <v>267</v>
      </c>
      <c r="B208" s="8" t="s">
        <v>268</v>
      </c>
      <c r="C208" s="8">
        <v>4.5</v>
      </c>
      <c r="D208" s="11">
        <v>3673</v>
      </c>
      <c r="E208" s="9">
        <v>4</v>
      </c>
      <c r="F208" s="8">
        <v>2015</v>
      </c>
      <c r="G208" s="8" t="s">
        <v>9</v>
      </c>
      <c r="M208" s="33" t="s">
        <v>503</v>
      </c>
      <c r="O208" s="32">
        <f t="shared" si="3"/>
        <v>10659</v>
      </c>
    </row>
    <row r="209" spans="1:15" x14ac:dyDescent="0.3">
      <c r="A209" s="13" t="s">
        <v>269</v>
      </c>
      <c r="B209" s="8" t="s">
        <v>270</v>
      </c>
      <c r="C209" s="8">
        <v>4.9000000000000004</v>
      </c>
      <c r="D209" s="11">
        <v>11881</v>
      </c>
      <c r="E209" s="9">
        <v>13</v>
      </c>
      <c r="F209" s="8">
        <v>2018</v>
      </c>
      <c r="G209" s="8" t="s">
        <v>12</v>
      </c>
      <c r="M209" s="33" t="s">
        <v>506</v>
      </c>
      <c r="O209" s="32">
        <f t="shared" si="3"/>
        <v>19568</v>
      </c>
    </row>
    <row r="210" spans="1:15" x14ac:dyDescent="0.3">
      <c r="A210" s="13" t="s">
        <v>271</v>
      </c>
      <c r="B210" s="8" t="s">
        <v>268</v>
      </c>
      <c r="C210" s="8">
        <v>4.5999999999999996</v>
      </c>
      <c r="D210" s="11">
        <v>6990</v>
      </c>
      <c r="E210" s="9">
        <v>4</v>
      </c>
      <c r="F210" s="8">
        <v>2013</v>
      </c>
      <c r="G210" s="8" t="s">
        <v>9</v>
      </c>
      <c r="M210" s="33" t="s">
        <v>508</v>
      </c>
      <c r="O210" s="32">
        <f t="shared" si="3"/>
        <v>10795</v>
      </c>
    </row>
    <row r="211" spans="1:15" x14ac:dyDescent="0.3">
      <c r="A211" s="13" t="s">
        <v>271</v>
      </c>
      <c r="B211" s="8" t="s">
        <v>268</v>
      </c>
      <c r="C211" s="8">
        <v>4.5999999999999996</v>
      </c>
      <c r="D211" s="11">
        <v>6990</v>
      </c>
      <c r="E211" s="9">
        <v>4</v>
      </c>
      <c r="F211" s="8">
        <v>2014</v>
      </c>
      <c r="G211" s="8" t="s">
        <v>9</v>
      </c>
      <c r="M211" s="33" t="s">
        <v>513</v>
      </c>
      <c r="O211" s="32">
        <f t="shared" si="3"/>
        <v>1204</v>
      </c>
    </row>
    <row r="212" spans="1:15" x14ac:dyDescent="0.3">
      <c r="A212" s="13" t="s">
        <v>271</v>
      </c>
      <c r="B212" s="8" t="s">
        <v>268</v>
      </c>
      <c r="C212" s="8">
        <v>4.5999999999999996</v>
      </c>
      <c r="D212" s="11">
        <v>6990</v>
      </c>
      <c r="E212" s="9">
        <v>4</v>
      </c>
      <c r="F212" s="8">
        <v>2015</v>
      </c>
      <c r="G212" s="8" t="s">
        <v>9</v>
      </c>
      <c r="M212" s="33" t="s">
        <v>516</v>
      </c>
      <c r="O212" s="32">
        <f t="shared" si="3"/>
        <v>39440</v>
      </c>
    </row>
    <row r="213" spans="1:15" x14ac:dyDescent="0.3">
      <c r="A213" s="13" t="s">
        <v>271</v>
      </c>
      <c r="B213" s="8" t="s">
        <v>268</v>
      </c>
      <c r="C213" s="8">
        <v>4.5999999999999996</v>
      </c>
      <c r="D213" s="11">
        <v>6990</v>
      </c>
      <c r="E213" s="9">
        <v>4</v>
      </c>
      <c r="F213" s="8">
        <v>2016</v>
      </c>
      <c r="G213" s="8" t="s">
        <v>9</v>
      </c>
      <c r="M213" s="33" t="s">
        <v>519</v>
      </c>
      <c r="O213" s="32">
        <f t="shared" si="3"/>
        <v>27536</v>
      </c>
    </row>
    <row r="214" spans="1:15" x14ac:dyDescent="0.3">
      <c r="A214" s="13" t="s">
        <v>271</v>
      </c>
      <c r="B214" s="8" t="s">
        <v>268</v>
      </c>
      <c r="C214" s="8">
        <v>4.5999999999999996</v>
      </c>
      <c r="D214" s="11">
        <v>6990</v>
      </c>
      <c r="E214" s="9">
        <v>4</v>
      </c>
      <c r="F214" s="8">
        <v>2017</v>
      </c>
      <c r="G214" s="8" t="s">
        <v>9</v>
      </c>
      <c r="M214" s="33" t="s">
        <v>522</v>
      </c>
      <c r="O214" s="32">
        <f t="shared" si="3"/>
        <v>79470</v>
      </c>
    </row>
    <row r="215" spans="1:15" x14ac:dyDescent="0.3">
      <c r="A215" s="13" t="s">
        <v>272</v>
      </c>
      <c r="B215" s="8" t="s">
        <v>273</v>
      </c>
      <c r="C215" s="8">
        <v>4.5</v>
      </c>
      <c r="D215" s="11">
        <v>6132</v>
      </c>
      <c r="E215" s="9">
        <v>13</v>
      </c>
      <c r="F215" s="8">
        <v>2013</v>
      </c>
      <c r="G215" s="8" t="s">
        <v>9</v>
      </c>
      <c r="M215" s="33" t="s">
        <v>527</v>
      </c>
      <c r="O215" s="32">
        <f t="shared" si="3"/>
        <v>3759</v>
      </c>
    </row>
    <row r="216" spans="1:15" x14ac:dyDescent="0.3">
      <c r="A216" s="13" t="s">
        <v>274</v>
      </c>
      <c r="B216" s="8" t="s">
        <v>275</v>
      </c>
      <c r="C216" s="8">
        <v>4.5</v>
      </c>
      <c r="D216" s="11">
        <v>3014</v>
      </c>
      <c r="E216" s="9">
        <v>21</v>
      </c>
      <c r="F216" s="8">
        <v>2017</v>
      </c>
      <c r="G216" s="8" t="s">
        <v>9</v>
      </c>
      <c r="M216" s="33" t="s">
        <v>530</v>
      </c>
      <c r="O216" s="32">
        <f t="shared" si="3"/>
        <v>11550</v>
      </c>
    </row>
    <row r="217" spans="1:15" x14ac:dyDescent="0.3">
      <c r="A217" s="13" t="s">
        <v>276</v>
      </c>
      <c r="B217" s="8" t="s">
        <v>277</v>
      </c>
      <c r="C217" s="8">
        <v>4.4000000000000004</v>
      </c>
      <c r="D217" s="11">
        <v>7550</v>
      </c>
      <c r="E217" s="9">
        <v>6</v>
      </c>
      <c r="F217" s="8">
        <v>2018</v>
      </c>
      <c r="G217" s="8" t="s">
        <v>9</v>
      </c>
      <c r="M217" s="33" t="s">
        <v>534</v>
      </c>
      <c r="O217" s="32">
        <f t="shared" si="3"/>
        <v>9030</v>
      </c>
    </row>
    <row r="218" spans="1:15" x14ac:dyDescent="0.3">
      <c r="A218" s="13" t="s">
        <v>278</v>
      </c>
      <c r="B218" s="8" t="s">
        <v>279</v>
      </c>
      <c r="C218" s="8">
        <v>4.8</v>
      </c>
      <c r="D218" s="11">
        <v>3828</v>
      </c>
      <c r="E218" s="9">
        <v>15</v>
      </c>
      <c r="F218" s="8">
        <v>2009</v>
      </c>
      <c r="G218" s="8" t="s">
        <v>9</v>
      </c>
      <c r="M218" s="33" t="s">
        <v>536</v>
      </c>
      <c r="O218" s="32">
        <f t="shared" si="3"/>
        <v>136822</v>
      </c>
    </row>
    <row r="219" spans="1:15" x14ac:dyDescent="0.3">
      <c r="A219" s="13" t="s">
        <v>280</v>
      </c>
      <c r="B219" s="8" t="s">
        <v>281</v>
      </c>
      <c r="C219" s="8">
        <v>4.5</v>
      </c>
      <c r="D219" s="11">
        <v>2752</v>
      </c>
      <c r="E219" s="9">
        <v>18</v>
      </c>
      <c r="F219" s="8">
        <v>2010</v>
      </c>
      <c r="G219" s="8" t="s">
        <v>9</v>
      </c>
      <c r="M219" s="33" t="s">
        <v>538</v>
      </c>
      <c r="O219" s="32">
        <f t="shared" si="3"/>
        <v>22524</v>
      </c>
    </row>
    <row r="220" spans="1:15" x14ac:dyDescent="0.3">
      <c r="A220" s="13" t="s">
        <v>282</v>
      </c>
      <c r="B220" s="8" t="s">
        <v>283</v>
      </c>
      <c r="C220" s="8">
        <v>4.0999999999999996</v>
      </c>
      <c r="D220" s="11">
        <v>1467</v>
      </c>
      <c r="E220" s="9">
        <v>10</v>
      </c>
      <c r="F220" s="8">
        <v>2010</v>
      </c>
      <c r="G220" s="8" t="s">
        <v>12</v>
      </c>
      <c r="M220" s="33" t="s">
        <v>540</v>
      </c>
      <c r="O220" s="32">
        <f t="shared" si="3"/>
        <v>35368</v>
      </c>
    </row>
    <row r="221" spans="1:15" x14ac:dyDescent="0.3">
      <c r="A221" s="13" t="s">
        <v>284</v>
      </c>
      <c r="B221" s="8" t="s">
        <v>285</v>
      </c>
      <c r="C221" s="8">
        <v>4.9000000000000004</v>
      </c>
      <c r="D221" s="11">
        <v>1884</v>
      </c>
      <c r="E221" s="9">
        <v>7</v>
      </c>
      <c r="F221" s="8">
        <v>2014</v>
      </c>
      <c r="G221" s="8" t="s">
        <v>12</v>
      </c>
      <c r="M221" s="33" t="s">
        <v>542</v>
      </c>
      <c r="O221" s="32">
        <f t="shared" si="3"/>
        <v>60366</v>
      </c>
    </row>
    <row r="222" spans="1:15" x14ac:dyDescent="0.3">
      <c r="A222" s="13" t="s">
        <v>286</v>
      </c>
      <c r="B222" s="8" t="s">
        <v>287</v>
      </c>
      <c r="C222" s="8">
        <v>4.5</v>
      </c>
      <c r="D222" s="11">
        <v>25706</v>
      </c>
      <c r="E222" s="9">
        <v>12</v>
      </c>
      <c r="F222" s="8">
        <v>2018</v>
      </c>
      <c r="G222" s="8" t="s">
        <v>12</v>
      </c>
      <c r="M222" s="33" t="s">
        <v>544</v>
      </c>
      <c r="O222" s="32">
        <f t="shared" si="3"/>
        <v>6169</v>
      </c>
    </row>
    <row r="223" spans="1:15" x14ac:dyDescent="0.3">
      <c r="A223" s="13" t="s">
        <v>288</v>
      </c>
      <c r="B223" s="8" t="s">
        <v>289</v>
      </c>
      <c r="C223" s="8">
        <v>4.5</v>
      </c>
      <c r="D223" s="11">
        <v>8491</v>
      </c>
      <c r="E223" s="9">
        <v>7</v>
      </c>
      <c r="F223" s="8">
        <v>2014</v>
      </c>
      <c r="G223" s="8" t="s">
        <v>12</v>
      </c>
      <c r="M223" s="33" t="s">
        <v>546</v>
      </c>
      <c r="O223" s="32">
        <f t="shared" si="3"/>
        <v>7034</v>
      </c>
    </row>
    <row r="224" spans="1:15" x14ac:dyDescent="0.3">
      <c r="A224" s="13" t="s">
        <v>290</v>
      </c>
      <c r="B224" s="8" t="s">
        <v>291</v>
      </c>
      <c r="C224" s="8">
        <v>4.2</v>
      </c>
      <c r="D224" s="11">
        <v>1649</v>
      </c>
      <c r="E224" s="9">
        <v>13</v>
      </c>
      <c r="F224" s="8">
        <v>2011</v>
      </c>
      <c r="G224" s="8" t="s">
        <v>9</v>
      </c>
      <c r="M224" s="33" t="s">
        <v>548</v>
      </c>
      <c r="O224" s="32">
        <f t="shared" si="3"/>
        <v>22068</v>
      </c>
    </row>
    <row r="225" spans="1:15" x14ac:dyDescent="0.3">
      <c r="A225" s="13" t="s">
        <v>292</v>
      </c>
      <c r="B225" s="8" t="s">
        <v>293</v>
      </c>
      <c r="C225" s="8">
        <v>4.8</v>
      </c>
      <c r="D225" s="11">
        <v>18613</v>
      </c>
      <c r="E225" s="9">
        <v>5</v>
      </c>
      <c r="F225" s="8">
        <v>2014</v>
      </c>
      <c r="G225" s="8" t="s">
        <v>12</v>
      </c>
      <c r="M225" s="33" t="s">
        <v>550</v>
      </c>
      <c r="O225" s="32">
        <f t="shared" si="3"/>
        <v>7932</v>
      </c>
    </row>
    <row r="226" spans="1:15" x14ac:dyDescent="0.3">
      <c r="A226" s="13" t="s">
        <v>292</v>
      </c>
      <c r="B226" s="8" t="s">
        <v>293</v>
      </c>
      <c r="C226" s="8">
        <v>4.8</v>
      </c>
      <c r="D226" s="11">
        <v>18613</v>
      </c>
      <c r="E226" s="9">
        <v>5</v>
      </c>
      <c r="F226" s="8">
        <v>2015</v>
      </c>
      <c r="G226" s="8" t="s">
        <v>12</v>
      </c>
      <c r="M226" s="33" t="s">
        <v>552</v>
      </c>
      <c r="O226" s="32">
        <f t="shared" si="3"/>
        <v>1904</v>
      </c>
    </row>
    <row r="227" spans="1:15" x14ac:dyDescent="0.3">
      <c r="A227" s="13" t="s">
        <v>294</v>
      </c>
      <c r="B227" s="8" t="s">
        <v>224</v>
      </c>
      <c r="C227" s="8">
        <v>4.8</v>
      </c>
      <c r="D227" s="11">
        <v>9867</v>
      </c>
      <c r="E227" s="9">
        <v>16</v>
      </c>
      <c r="F227" s="8">
        <v>2018</v>
      </c>
      <c r="G227" s="8" t="s">
        <v>9</v>
      </c>
      <c r="M227" s="33" t="s">
        <v>554</v>
      </c>
      <c r="O227" s="32">
        <f t="shared" si="3"/>
        <v>6638</v>
      </c>
    </row>
    <row r="228" spans="1:15" x14ac:dyDescent="0.3">
      <c r="A228" s="13" t="s">
        <v>295</v>
      </c>
      <c r="B228" s="8" t="s">
        <v>64</v>
      </c>
      <c r="C228" s="8">
        <v>4.5</v>
      </c>
      <c r="D228" s="11">
        <v>1386</v>
      </c>
      <c r="E228" s="9">
        <v>20</v>
      </c>
      <c r="F228" s="8">
        <v>2014</v>
      </c>
      <c r="G228" s="8" t="s">
        <v>9</v>
      </c>
      <c r="M228" s="33" t="s">
        <v>556</v>
      </c>
      <c r="O228" s="32">
        <f t="shared" si="3"/>
        <v>44512</v>
      </c>
    </row>
    <row r="229" spans="1:15" x14ac:dyDescent="0.3">
      <c r="A229" s="13" t="s">
        <v>296</v>
      </c>
      <c r="B229" s="8" t="s">
        <v>297</v>
      </c>
      <c r="C229" s="8">
        <v>4.7</v>
      </c>
      <c r="D229" s="11">
        <v>10199</v>
      </c>
      <c r="E229" s="9">
        <v>11</v>
      </c>
      <c r="F229" s="8">
        <v>2017</v>
      </c>
      <c r="G229" s="8" t="s">
        <v>9</v>
      </c>
      <c r="M229" s="33" t="s">
        <v>558</v>
      </c>
      <c r="O229" s="32">
        <f t="shared" si="3"/>
        <v>5977</v>
      </c>
    </row>
    <row r="230" spans="1:15" x14ac:dyDescent="0.3">
      <c r="A230" s="13" t="s">
        <v>298</v>
      </c>
      <c r="B230" s="8" t="s">
        <v>299</v>
      </c>
      <c r="C230" s="8">
        <v>4.8</v>
      </c>
      <c r="D230" s="11">
        <v>2926</v>
      </c>
      <c r="E230" s="9">
        <v>27</v>
      </c>
      <c r="F230" s="8">
        <v>2009</v>
      </c>
      <c r="G230" s="8" t="s">
        <v>9</v>
      </c>
      <c r="M230" s="33" t="s">
        <v>562</v>
      </c>
      <c r="O230" s="32">
        <f t="shared" si="3"/>
        <v>2282</v>
      </c>
    </row>
    <row r="231" spans="1:15" x14ac:dyDescent="0.3">
      <c r="A231" s="13" t="s">
        <v>300</v>
      </c>
      <c r="B231" s="8" t="s">
        <v>301</v>
      </c>
      <c r="C231" s="8">
        <v>4.7</v>
      </c>
      <c r="D231" s="11">
        <v>17739</v>
      </c>
      <c r="E231" s="9">
        <v>8</v>
      </c>
      <c r="F231" s="8">
        <v>2016</v>
      </c>
      <c r="G231" s="8" t="s">
        <v>9</v>
      </c>
      <c r="M231" s="33" t="s">
        <v>564</v>
      </c>
      <c r="O231" s="32">
        <f t="shared" si="3"/>
        <v>438</v>
      </c>
    </row>
    <row r="232" spans="1:15" x14ac:dyDescent="0.3">
      <c r="A232" s="13" t="s">
        <v>300</v>
      </c>
      <c r="B232" s="8" t="s">
        <v>301</v>
      </c>
      <c r="C232" s="8">
        <v>4.7</v>
      </c>
      <c r="D232" s="11">
        <v>17739</v>
      </c>
      <c r="E232" s="9">
        <v>8</v>
      </c>
      <c r="F232" s="8">
        <v>2017</v>
      </c>
      <c r="G232" s="8" t="s">
        <v>9</v>
      </c>
      <c r="M232" s="33" t="s">
        <v>568</v>
      </c>
      <c r="O232" s="32">
        <f t="shared" si="3"/>
        <v>118692</v>
      </c>
    </row>
    <row r="233" spans="1:15" x14ac:dyDescent="0.3">
      <c r="A233" s="13" t="s">
        <v>300</v>
      </c>
      <c r="B233" s="8" t="s">
        <v>301</v>
      </c>
      <c r="C233" s="8">
        <v>4.7</v>
      </c>
      <c r="D233" s="11">
        <v>17739</v>
      </c>
      <c r="E233" s="9">
        <v>8</v>
      </c>
      <c r="F233" s="8">
        <v>2018</v>
      </c>
      <c r="G233" s="8" t="s">
        <v>9</v>
      </c>
      <c r="M233" s="33" t="s">
        <v>572</v>
      </c>
      <c r="O233" s="32">
        <f t="shared" si="3"/>
        <v>6108</v>
      </c>
    </row>
    <row r="234" spans="1:15" x14ac:dyDescent="0.3">
      <c r="A234" s="13" t="s">
        <v>302</v>
      </c>
      <c r="B234" s="8" t="s">
        <v>303</v>
      </c>
      <c r="C234" s="8">
        <v>4.4000000000000004</v>
      </c>
      <c r="D234" s="11">
        <v>3113</v>
      </c>
      <c r="E234" s="9">
        <v>6</v>
      </c>
      <c r="F234" s="8">
        <v>2017</v>
      </c>
      <c r="G234" s="8" t="s">
        <v>9</v>
      </c>
      <c r="M234" s="33" t="s">
        <v>575</v>
      </c>
      <c r="O234" s="32">
        <f t="shared" si="3"/>
        <v>3829</v>
      </c>
    </row>
    <row r="235" spans="1:15" x14ac:dyDescent="0.3">
      <c r="A235" s="13" t="s">
        <v>304</v>
      </c>
      <c r="B235" s="8" t="s">
        <v>305</v>
      </c>
      <c r="C235" s="8">
        <v>4.5999999999999996</v>
      </c>
      <c r="D235" s="11">
        <v>5542</v>
      </c>
      <c r="E235" s="9">
        <v>10</v>
      </c>
      <c r="F235" s="8">
        <v>2014</v>
      </c>
      <c r="G235" s="8" t="s">
        <v>9</v>
      </c>
      <c r="M235" s="33" t="s">
        <v>577</v>
      </c>
      <c r="O235" s="32">
        <f t="shared" si="3"/>
        <v>8958</v>
      </c>
    </row>
    <row r="236" spans="1:15" x14ac:dyDescent="0.3">
      <c r="A236" s="13" t="s">
        <v>304</v>
      </c>
      <c r="B236" s="8" t="s">
        <v>305</v>
      </c>
      <c r="C236" s="8">
        <v>4.5999999999999996</v>
      </c>
      <c r="D236" s="11">
        <v>5542</v>
      </c>
      <c r="E236" s="9">
        <v>10</v>
      </c>
      <c r="F236" s="8">
        <v>2015</v>
      </c>
      <c r="G236" s="8" t="s">
        <v>9</v>
      </c>
      <c r="M236" s="33" t="s">
        <v>579</v>
      </c>
      <c r="O236" s="32">
        <f t="shared" si="3"/>
        <v>5492</v>
      </c>
    </row>
    <row r="237" spans="1:15" x14ac:dyDescent="0.3">
      <c r="A237" s="13" t="s">
        <v>304</v>
      </c>
      <c r="B237" s="8" t="s">
        <v>305</v>
      </c>
      <c r="C237" s="8">
        <v>4.5999999999999996</v>
      </c>
      <c r="D237" s="11">
        <v>5542</v>
      </c>
      <c r="E237" s="9">
        <v>10</v>
      </c>
      <c r="F237" s="8">
        <v>2016</v>
      </c>
      <c r="G237" s="8" t="s">
        <v>9</v>
      </c>
      <c r="M237" s="33" t="s">
        <v>581</v>
      </c>
      <c r="O237" s="32">
        <f t="shared" si="3"/>
        <v>9292</v>
      </c>
    </row>
    <row r="238" spans="1:15" x14ac:dyDescent="0.3">
      <c r="A238" s="13" t="s">
        <v>306</v>
      </c>
      <c r="B238" s="8" t="s">
        <v>88</v>
      </c>
      <c r="C238" s="8">
        <v>4.5</v>
      </c>
      <c r="D238" s="11">
        <v>26741</v>
      </c>
      <c r="E238" s="9">
        <v>8</v>
      </c>
      <c r="F238" s="8">
        <v>2010</v>
      </c>
      <c r="G238" s="8" t="s">
        <v>12</v>
      </c>
      <c r="M238" s="33" t="s">
        <v>584</v>
      </c>
      <c r="O238" s="32">
        <f t="shared" si="3"/>
        <v>8170</v>
      </c>
    </row>
    <row r="239" spans="1:15" x14ac:dyDescent="0.3">
      <c r="A239" s="13" t="s">
        <v>306</v>
      </c>
      <c r="B239" s="8" t="s">
        <v>88</v>
      </c>
      <c r="C239" s="8">
        <v>4.5</v>
      </c>
      <c r="D239" s="11">
        <v>26741</v>
      </c>
      <c r="E239" s="9">
        <v>8</v>
      </c>
      <c r="F239" s="8">
        <v>2011</v>
      </c>
      <c r="G239" s="8" t="s">
        <v>12</v>
      </c>
      <c r="M239" s="33" t="s">
        <v>586</v>
      </c>
      <c r="O239" s="32">
        <f t="shared" si="3"/>
        <v>3341</v>
      </c>
    </row>
    <row r="240" spans="1:15" x14ac:dyDescent="0.3">
      <c r="A240" s="13" t="s">
        <v>306</v>
      </c>
      <c r="B240" s="8" t="s">
        <v>88</v>
      </c>
      <c r="C240" s="8">
        <v>4.5</v>
      </c>
      <c r="D240" s="11">
        <v>26741</v>
      </c>
      <c r="E240" s="9">
        <v>8</v>
      </c>
      <c r="F240" s="8">
        <v>2012</v>
      </c>
      <c r="G240" s="8" t="s">
        <v>12</v>
      </c>
      <c r="M240" s="33" t="s">
        <v>588</v>
      </c>
      <c r="O240" s="32">
        <f t="shared" si="3"/>
        <v>14994</v>
      </c>
    </row>
    <row r="241" spans="1:15" x14ac:dyDescent="0.3">
      <c r="A241" s="13" t="s">
        <v>307</v>
      </c>
      <c r="B241" s="8" t="s">
        <v>308</v>
      </c>
      <c r="C241" s="8">
        <v>4.8</v>
      </c>
      <c r="D241" s="11">
        <v>5347</v>
      </c>
      <c r="E241" s="9">
        <v>16</v>
      </c>
      <c r="F241" s="8">
        <v>2019</v>
      </c>
      <c r="G241" s="8" t="s">
        <v>9</v>
      </c>
      <c r="M241" s="33" t="s">
        <v>590</v>
      </c>
      <c r="O241" s="32">
        <f t="shared" si="3"/>
        <v>13779</v>
      </c>
    </row>
    <row r="242" spans="1:15" x14ac:dyDescent="0.3">
      <c r="A242" s="13" t="s">
        <v>309</v>
      </c>
      <c r="B242" s="8" t="s">
        <v>310</v>
      </c>
      <c r="C242" s="8">
        <v>4.8</v>
      </c>
      <c r="D242" s="11">
        <v>7866</v>
      </c>
      <c r="E242" s="9">
        <v>11</v>
      </c>
      <c r="F242" s="8">
        <v>2019</v>
      </c>
      <c r="G242" s="8" t="s">
        <v>9</v>
      </c>
      <c r="M242" s="33" t="s">
        <v>592</v>
      </c>
      <c r="O242" s="32">
        <f t="shared" si="3"/>
        <v>87841</v>
      </c>
    </row>
    <row r="243" spans="1:15" x14ac:dyDescent="0.3">
      <c r="A243" s="13" t="s">
        <v>311</v>
      </c>
      <c r="B243" s="8" t="s">
        <v>75</v>
      </c>
      <c r="C243" s="8">
        <v>4.5999999999999996</v>
      </c>
      <c r="D243" s="11">
        <v>5680</v>
      </c>
      <c r="E243" s="9">
        <v>10</v>
      </c>
      <c r="F243" s="8">
        <v>2009</v>
      </c>
      <c r="G243" s="8" t="s">
        <v>12</v>
      </c>
      <c r="M243" s="33" t="s">
        <v>594</v>
      </c>
      <c r="O243" s="32">
        <f t="shared" si="3"/>
        <v>9967</v>
      </c>
    </row>
    <row r="244" spans="1:15" x14ac:dyDescent="0.3">
      <c r="A244" s="13" t="s">
        <v>312</v>
      </c>
      <c r="B244" s="8" t="s">
        <v>313</v>
      </c>
      <c r="C244" s="8">
        <v>4.7</v>
      </c>
      <c r="D244" s="11">
        <v>5178</v>
      </c>
      <c r="E244" s="9">
        <v>9</v>
      </c>
      <c r="F244" s="8">
        <v>2016</v>
      </c>
      <c r="G244" s="8" t="s">
        <v>9</v>
      </c>
      <c r="M244" s="33" t="s">
        <v>596</v>
      </c>
      <c r="O244" s="32">
        <f t="shared" si="3"/>
        <v>6669</v>
      </c>
    </row>
    <row r="245" spans="1:15" x14ac:dyDescent="0.3">
      <c r="A245" s="13" t="s">
        <v>314</v>
      </c>
      <c r="B245" s="8" t="s">
        <v>315</v>
      </c>
      <c r="C245" s="8">
        <v>4.5999999999999996</v>
      </c>
      <c r="D245" s="11">
        <v>8093</v>
      </c>
      <c r="E245" s="9">
        <v>14</v>
      </c>
      <c r="F245" s="8">
        <v>2012</v>
      </c>
      <c r="G245" s="8" t="s">
        <v>9</v>
      </c>
      <c r="M245" s="33" t="s">
        <v>598</v>
      </c>
      <c r="O245" s="32">
        <f t="shared" si="3"/>
        <v>17044</v>
      </c>
    </row>
    <row r="246" spans="1:15" x14ac:dyDescent="0.3">
      <c r="A246" s="13" t="s">
        <v>316</v>
      </c>
      <c r="B246" s="8" t="s">
        <v>317</v>
      </c>
      <c r="C246" s="8">
        <v>4.9000000000000004</v>
      </c>
      <c r="D246" s="11">
        <v>3192</v>
      </c>
      <c r="E246" s="9">
        <v>22</v>
      </c>
      <c r="F246" s="8">
        <v>2017</v>
      </c>
      <c r="G246" s="8" t="s">
        <v>9</v>
      </c>
      <c r="M246" s="33" t="s">
        <v>600</v>
      </c>
      <c r="O246" s="32">
        <f t="shared" si="3"/>
        <v>10760</v>
      </c>
    </row>
    <row r="247" spans="1:15" x14ac:dyDescent="0.3">
      <c r="A247" s="13" t="s">
        <v>318</v>
      </c>
      <c r="B247" s="8" t="s">
        <v>319</v>
      </c>
      <c r="C247" s="8">
        <v>4.9000000000000004</v>
      </c>
      <c r="D247" s="11">
        <v>21834</v>
      </c>
      <c r="E247" s="9">
        <v>8</v>
      </c>
      <c r="F247" s="8">
        <v>2012</v>
      </c>
      <c r="G247" s="8" t="s">
        <v>12</v>
      </c>
      <c r="M247" s="33" t="s">
        <v>602</v>
      </c>
      <c r="O247" s="32">
        <f t="shared" si="3"/>
        <v>1302</v>
      </c>
    </row>
    <row r="248" spans="1:15" x14ac:dyDescent="0.3">
      <c r="A248" s="13" t="s">
        <v>318</v>
      </c>
      <c r="B248" s="8" t="s">
        <v>319</v>
      </c>
      <c r="C248" s="8">
        <v>4.9000000000000004</v>
      </c>
      <c r="D248" s="11">
        <v>21834</v>
      </c>
      <c r="E248" s="9">
        <v>8</v>
      </c>
      <c r="F248" s="8">
        <v>2013</v>
      </c>
      <c r="G248" s="8" t="s">
        <v>12</v>
      </c>
      <c r="M248" s="33" t="s">
        <v>604</v>
      </c>
      <c r="O248" s="32">
        <f t="shared" si="3"/>
        <v>108125</v>
      </c>
    </row>
    <row r="249" spans="1:15" x14ac:dyDescent="0.3">
      <c r="A249" s="13" t="s">
        <v>318</v>
      </c>
      <c r="B249" s="8" t="s">
        <v>319</v>
      </c>
      <c r="C249" s="8">
        <v>4.9000000000000004</v>
      </c>
      <c r="D249" s="11">
        <v>21834</v>
      </c>
      <c r="E249" s="9">
        <v>8</v>
      </c>
      <c r="F249" s="8">
        <v>2014</v>
      </c>
      <c r="G249" s="8" t="s">
        <v>12</v>
      </c>
      <c r="M249" s="33" t="s">
        <v>607</v>
      </c>
      <c r="O249" s="32">
        <f t="shared" si="3"/>
        <v>57324</v>
      </c>
    </row>
    <row r="250" spans="1:15" x14ac:dyDescent="0.3">
      <c r="A250" s="13" t="s">
        <v>318</v>
      </c>
      <c r="B250" s="8" t="s">
        <v>319</v>
      </c>
      <c r="C250" s="8">
        <v>4.9000000000000004</v>
      </c>
      <c r="D250" s="11">
        <v>21834</v>
      </c>
      <c r="E250" s="9">
        <v>8</v>
      </c>
      <c r="F250" s="8">
        <v>2015</v>
      </c>
      <c r="G250" s="8" t="s">
        <v>12</v>
      </c>
    </row>
    <row r="251" spans="1:15" x14ac:dyDescent="0.3">
      <c r="A251" s="13" t="s">
        <v>318</v>
      </c>
      <c r="B251" s="8" t="s">
        <v>319</v>
      </c>
      <c r="C251" s="8">
        <v>4.9000000000000004</v>
      </c>
      <c r="D251" s="11">
        <v>21834</v>
      </c>
      <c r="E251" s="9">
        <v>8</v>
      </c>
      <c r="F251" s="8">
        <v>2016</v>
      </c>
      <c r="G251" s="8" t="s">
        <v>12</v>
      </c>
    </row>
    <row r="252" spans="1:15" x14ac:dyDescent="0.3">
      <c r="A252" s="13" t="s">
        <v>318</v>
      </c>
      <c r="B252" s="8" t="s">
        <v>319</v>
      </c>
      <c r="C252" s="8">
        <v>4.9000000000000004</v>
      </c>
      <c r="D252" s="11">
        <v>21834</v>
      </c>
      <c r="E252" s="9">
        <v>8</v>
      </c>
      <c r="F252" s="8">
        <v>2017</v>
      </c>
      <c r="G252" s="8" t="s">
        <v>12</v>
      </c>
    </row>
    <row r="253" spans="1:15" x14ac:dyDescent="0.3">
      <c r="A253" s="13" t="s">
        <v>318</v>
      </c>
      <c r="B253" s="8" t="s">
        <v>319</v>
      </c>
      <c r="C253" s="8">
        <v>4.9000000000000004</v>
      </c>
      <c r="D253" s="11">
        <v>21834</v>
      </c>
      <c r="E253" s="9">
        <v>8</v>
      </c>
      <c r="F253" s="8">
        <v>2018</v>
      </c>
      <c r="G253" s="8" t="s">
        <v>12</v>
      </c>
    </row>
    <row r="254" spans="1:15" x14ac:dyDescent="0.3">
      <c r="A254" s="13" t="s">
        <v>318</v>
      </c>
      <c r="B254" s="8" t="s">
        <v>319</v>
      </c>
      <c r="C254" s="8">
        <v>4.9000000000000004</v>
      </c>
      <c r="D254" s="11">
        <v>21834</v>
      </c>
      <c r="E254" s="9">
        <v>8</v>
      </c>
      <c r="F254" s="8">
        <v>2019</v>
      </c>
      <c r="G254" s="8" t="s">
        <v>12</v>
      </c>
    </row>
    <row r="255" spans="1:15" x14ac:dyDescent="0.3">
      <c r="A255" s="13" t="s">
        <v>320</v>
      </c>
      <c r="B255" s="8" t="s">
        <v>80</v>
      </c>
      <c r="C255" s="8">
        <v>4.8</v>
      </c>
      <c r="D255" s="11">
        <v>6169</v>
      </c>
      <c r="E255" s="9">
        <v>7</v>
      </c>
      <c r="F255" s="8">
        <v>2015</v>
      </c>
      <c r="G255" s="8" t="s">
        <v>12</v>
      </c>
    </row>
    <row r="256" spans="1:15" x14ac:dyDescent="0.3">
      <c r="A256" s="13" t="s">
        <v>321</v>
      </c>
      <c r="B256" s="8" t="s">
        <v>322</v>
      </c>
      <c r="C256" s="8">
        <v>4.2</v>
      </c>
      <c r="D256" s="11">
        <v>4519</v>
      </c>
      <c r="E256" s="9">
        <v>12</v>
      </c>
      <c r="F256" s="8">
        <v>2009</v>
      </c>
      <c r="G256" s="8" t="s">
        <v>12</v>
      </c>
    </row>
    <row r="257" spans="1:7" x14ac:dyDescent="0.3">
      <c r="A257" s="13" t="s">
        <v>323</v>
      </c>
      <c r="B257" s="8" t="s">
        <v>324</v>
      </c>
      <c r="C257" s="8">
        <v>4.5999999999999996</v>
      </c>
      <c r="D257" s="11">
        <v>3163</v>
      </c>
      <c r="E257" s="9">
        <v>13</v>
      </c>
      <c r="F257" s="8">
        <v>2011</v>
      </c>
      <c r="G257" s="8" t="s">
        <v>9</v>
      </c>
    </row>
    <row r="258" spans="1:7" x14ac:dyDescent="0.3">
      <c r="A258" s="13" t="s">
        <v>323</v>
      </c>
      <c r="B258" s="8" t="s">
        <v>324</v>
      </c>
      <c r="C258" s="8">
        <v>4.5999999999999996</v>
      </c>
      <c r="D258" s="11">
        <v>3163</v>
      </c>
      <c r="E258" s="9">
        <v>13</v>
      </c>
      <c r="F258" s="8">
        <v>2012</v>
      </c>
      <c r="G258" s="8" t="s">
        <v>9</v>
      </c>
    </row>
    <row r="259" spans="1:7" x14ac:dyDescent="0.3">
      <c r="A259" s="13" t="s">
        <v>325</v>
      </c>
      <c r="B259" s="8" t="s">
        <v>273</v>
      </c>
      <c r="C259" s="8">
        <v>4.5</v>
      </c>
      <c r="D259" s="11">
        <v>1831</v>
      </c>
      <c r="E259" s="9">
        <v>9</v>
      </c>
      <c r="F259" s="8">
        <v>2017</v>
      </c>
      <c r="G259" s="8" t="s">
        <v>9</v>
      </c>
    </row>
    <row r="260" spans="1:7" x14ac:dyDescent="0.3">
      <c r="A260" s="13" t="s">
        <v>326</v>
      </c>
      <c r="B260" s="8" t="s">
        <v>245</v>
      </c>
      <c r="C260" s="8">
        <v>4.3</v>
      </c>
      <c r="D260" s="11">
        <v>18904</v>
      </c>
      <c r="E260" s="9">
        <v>13</v>
      </c>
      <c r="F260" s="8">
        <v>2017</v>
      </c>
      <c r="G260" s="8" t="s">
        <v>12</v>
      </c>
    </row>
    <row r="261" spans="1:7" x14ac:dyDescent="0.3">
      <c r="A261" s="13" t="s">
        <v>327</v>
      </c>
      <c r="B261" s="8" t="s">
        <v>328</v>
      </c>
      <c r="C261" s="8">
        <v>4.5999999999999996</v>
      </c>
      <c r="D261" s="11">
        <v>21930</v>
      </c>
      <c r="E261" s="9">
        <v>11</v>
      </c>
      <c r="F261" s="8">
        <v>2014</v>
      </c>
      <c r="G261" s="8" t="s">
        <v>12</v>
      </c>
    </row>
    <row r="262" spans="1:7" x14ac:dyDescent="0.3">
      <c r="A262" s="13" t="s">
        <v>329</v>
      </c>
      <c r="B262" s="8" t="s">
        <v>103</v>
      </c>
      <c r="C262" s="8">
        <v>4.5999999999999996</v>
      </c>
      <c r="D262" s="11">
        <v>10426</v>
      </c>
      <c r="E262" s="9">
        <v>20</v>
      </c>
      <c r="F262" s="8">
        <v>2009</v>
      </c>
      <c r="G262" s="8" t="s">
        <v>9</v>
      </c>
    </row>
    <row r="263" spans="1:7" x14ac:dyDescent="0.3">
      <c r="A263" s="13" t="s">
        <v>329</v>
      </c>
      <c r="B263" s="8" t="s">
        <v>103</v>
      </c>
      <c r="C263" s="8">
        <v>4.5999999999999996</v>
      </c>
      <c r="D263" s="11">
        <v>10426</v>
      </c>
      <c r="E263" s="9">
        <v>20</v>
      </c>
      <c r="F263" s="8">
        <v>2010</v>
      </c>
      <c r="G263" s="8" t="s">
        <v>9</v>
      </c>
    </row>
    <row r="264" spans="1:7" x14ac:dyDescent="0.3">
      <c r="A264" s="13" t="s">
        <v>330</v>
      </c>
      <c r="B264" s="8" t="s">
        <v>331</v>
      </c>
      <c r="C264" s="8">
        <v>4.7</v>
      </c>
      <c r="D264" s="11">
        <v>10820</v>
      </c>
      <c r="E264" s="9">
        <v>5</v>
      </c>
      <c r="F264" s="8">
        <v>2018</v>
      </c>
      <c r="G264" s="8" t="s">
        <v>9</v>
      </c>
    </row>
    <row r="265" spans="1:7" x14ac:dyDescent="0.3">
      <c r="A265" s="13" t="s">
        <v>330</v>
      </c>
      <c r="B265" s="8" t="s">
        <v>331</v>
      </c>
      <c r="C265" s="8">
        <v>4.7</v>
      </c>
      <c r="D265" s="11">
        <v>10820</v>
      </c>
      <c r="E265" s="9">
        <v>5</v>
      </c>
      <c r="F265" s="8">
        <v>2019</v>
      </c>
      <c r="G265" s="8" t="s">
        <v>9</v>
      </c>
    </row>
    <row r="266" spans="1:7" x14ac:dyDescent="0.3">
      <c r="A266" s="13" t="s">
        <v>332</v>
      </c>
      <c r="B266" s="8" t="s">
        <v>333</v>
      </c>
      <c r="C266" s="8">
        <v>4.8</v>
      </c>
      <c r="D266" s="11">
        <v>548</v>
      </c>
      <c r="E266" s="9">
        <v>2</v>
      </c>
      <c r="F266" s="8">
        <v>2010</v>
      </c>
      <c r="G266" s="8" t="s">
        <v>12</v>
      </c>
    </row>
    <row r="267" spans="1:7" x14ac:dyDescent="0.3">
      <c r="A267" s="13" t="s">
        <v>334</v>
      </c>
      <c r="B267" s="8" t="s">
        <v>335</v>
      </c>
      <c r="C267" s="8">
        <v>4.8</v>
      </c>
      <c r="D267" s="11">
        <v>16990</v>
      </c>
      <c r="E267" s="9">
        <v>27</v>
      </c>
      <c r="F267" s="8">
        <v>2017</v>
      </c>
      <c r="G267" s="8" t="s">
        <v>12</v>
      </c>
    </row>
    <row r="268" spans="1:7" x14ac:dyDescent="0.3">
      <c r="A268" s="13" t="s">
        <v>334</v>
      </c>
      <c r="B268" s="8" t="s">
        <v>335</v>
      </c>
      <c r="C268" s="8">
        <v>4.8</v>
      </c>
      <c r="D268" s="11">
        <v>16990</v>
      </c>
      <c r="E268" s="9">
        <v>27</v>
      </c>
      <c r="F268" s="8">
        <v>2018</v>
      </c>
      <c r="G268" s="8" t="s">
        <v>12</v>
      </c>
    </row>
    <row r="269" spans="1:7" x14ac:dyDescent="0.3">
      <c r="A269" s="13" t="s">
        <v>334</v>
      </c>
      <c r="B269" s="8" t="s">
        <v>335</v>
      </c>
      <c r="C269" s="8">
        <v>4.8</v>
      </c>
      <c r="D269" s="11">
        <v>16990</v>
      </c>
      <c r="E269" s="9">
        <v>27</v>
      </c>
      <c r="F269" s="8">
        <v>2019</v>
      </c>
      <c r="G269" s="8" t="s">
        <v>12</v>
      </c>
    </row>
    <row r="270" spans="1:7" x14ac:dyDescent="0.3">
      <c r="A270" s="13" t="s">
        <v>336</v>
      </c>
      <c r="B270" s="8" t="s">
        <v>215</v>
      </c>
      <c r="C270" s="8">
        <v>4.7</v>
      </c>
      <c r="D270" s="11">
        <v>3503</v>
      </c>
      <c r="E270" s="9">
        <v>9</v>
      </c>
      <c r="F270" s="8">
        <v>2016</v>
      </c>
      <c r="G270" s="8" t="s">
        <v>12</v>
      </c>
    </row>
    <row r="271" spans="1:7" x14ac:dyDescent="0.3">
      <c r="A271" s="13" t="s">
        <v>337</v>
      </c>
      <c r="B271" s="8" t="s">
        <v>338</v>
      </c>
      <c r="C271" s="8">
        <v>4.3</v>
      </c>
      <c r="D271" s="11">
        <v>13616</v>
      </c>
      <c r="E271" s="9">
        <v>10</v>
      </c>
      <c r="F271" s="8">
        <v>2012</v>
      </c>
      <c r="G271" s="8" t="s">
        <v>9</v>
      </c>
    </row>
    <row r="272" spans="1:7" x14ac:dyDescent="0.3">
      <c r="A272" s="13" t="s">
        <v>337</v>
      </c>
      <c r="B272" s="8" t="s">
        <v>338</v>
      </c>
      <c r="C272" s="8">
        <v>4.3</v>
      </c>
      <c r="D272" s="11">
        <v>13616</v>
      </c>
      <c r="E272" s="9">
        <v>10</v>
      </c>
      <c r="F272" s="8">
        <v>2013</v>
      </c>
      <c r="G272" s="8" t="s">
        <v>9</v>
      </c>
    </row>
    <row r="273" spans="1:7" x14ac:dyDescent="0.3">
      <c r="A273" s="13" t="s">
        <v>339</v>
      </c>
      <c r="B273" s="8" t="s">
        <v>340</v>
      </c>
      <c r="C273" s="8">
        <v>4.5</v>
      </c>
      <c r="D273" s="11">
        <v>8580</v>
      </c>
      <c r="E273" s="9">
        <v>46</v>
      </c>
      <c r="F273" s="8">
        <v>2009</v>
      </c>
      <c r="G273" s="8" t="s">
        <v>9</v>
      </c>
    </row>
    <row r="274" spans="1:7" x14ac:dyDescent="0.3">
      <c r="A274" s="13" t="s">
        <v>339</v>
      </c>
      <c r="B274" s="8" t="s">
        <v>340</v>
      </c>
      <c r="C274" s="8">
        <v>4.5</v>
      </c>
      <c r="D274" s="11">
        <v>8580</v>
      </c>
      <c r="E274" s="9">
        <v>46</v>
      </c>
      <c r="F274" s="8">
        <v>2010</v>
      </c>
      <c r="G274" s="8" t="s">
        <v>9</v>
      </c>
    </row>
    <row r="275" spans="1:7" x14ac:dyDescent="0.3">
      <c r="A275" s="13" t="s">
        <v>339</v>
      </c>
      <c r="B275" s="8" t="s">
        <v>340</v>
      </c>
      <c r="C275" s="8">
        <v>4.5</v>
      </c>
      <c r="D275" s="11">
        <v>8580</v>
      </c>
      <c r="E275" s="9">
        <v>46</v>
      </c>
      <c r="F275" s="8">
        <v>2011</v>
      </c>
      <c r="G275" s="8" t="s">
        <v>9</v>
      </c>
    </row>
    <row r="276" spans="1:7" x14ac:dyDescent="0.3">
      <c r="A276" s="13" t="s">
        <v>339</v>
      </c>
      <c r="B276" s="8" t="s">
        <v>340</v>
      </c>
      <c r="C276" s="8">
        <v>4.5</v>
      </c>
      <c r="D276" s="11">
        <v>8580</v>
      </c>
      <c r="E276" s="9">
        <v>46</v>
      </c>
      <c r="F276" s="8">
        <v>2012</v>
      </c>
      <c r="G276" s="8" t="s">
        <v>9</v>
      </c>
    </row>
    <row r="277" spans="1:7" x14ac:dyDescent="0.3">
      <c r="A277" s="13" t="s">
        <v>339</v>
      </c>
      <c r="B277" s="8" t="s">
        <v>340</v>
      </c>
      <c r="C277" s="8">
        <v>4.5</v>
      </c>
      <c r="D277" s="11">
        <v>8580</v>
      </c>
      <c r="E277" s="9">
        <v>46</v>
      </c>
      <c r="F277" s="8">
        <v>2013</v>
      </c>
      <c r="G277" s="8" t="s">
        <v>9</v>
      </c>
    </row>
    <row r="278" spans="1:7" x14ac:dyDescent="0.3">
      <c r="A278" s="13" t="s">
        <v>339</v>
      </c>
      <c r="B278" s="8" t="s">
        <v>340</v>
      </c>
      <c r="C278" s="8">
        <v>4.5</v>
      </c>
      <c r="D278" s="11">
        <v>8580</v>
      </c>
      <c r="E278" s="9">
        <v>46</v>
      </c>
      <c r="F278" s="8">
        <v>2014</v>
      </c>
      <c r="G278" s="8" t="s">
        <v>9</v>
      </c>
    </row>
    <row r="279" spans="1:7" x14ac:dyDescent="0.3">
      <c r="A279" s="13" t="s">
        <v>339</v>
      </c>
      <c r="B279" s="8" t="s">
        <v>340</v>
      </c>
      <c r="C279" s="8">
        <v>4.5</v>
      </c>
      <c r="D279" s="11">
        <v>8580</v>
      </c>
      <c r="E279" s="9">
        <v>46</v>
      </c>
      <c r="F279" s="8">
        <v>2015</v>
      </c>
      <c r="G279" s="8" t="s">
        <v>9</v>
      </c>
    </row>
    <row r="280" spans="1:7" x14ac:dyDescent="0.3">
      <c r="A280" s="13" t="s">
        <v>339</v>
      </c>
      <c r="B280" s="8" t="s">
        <v>340</v>
      </c>
      <c r="C280" s="8">
        <v>4.5</v>
      </c>
      <c r="D280" s="11">
        <v>8580</v>
      </c>
      <c r="E280" s="9">
        <v>46</v>
      </c>
      <c r="F280" s="8">
        <v>2016</v>
      </c>
      <c r="G280" s="8" t="s">
        <v>9</v>
      </c>
    </row>
    <row r="281" spans="1:7" x14ac:dyDescent="0.3">
      <c r="A281" s="13" t="s">
        <v>339</v>
      </c>
      <c r="B281" s="8" t="s">
        <v>340</v>
      </c>
      <c r="C281" s="8">
        <v>4.5</v>
      </c>
      <c r="D281" s="11">
        <v>8580</v>
      </c>
      <c r="E281" s="9">
        <v>46</v>
      </c>
      <c r="F281" s="8">
        <v>2017</v>
      </c>
      <c r="G281" s="8" t="s">
        <v>9</v>
      </c>
    </row>
    <row r="282" spans="1:7" x14ac:dyDescent="0.3">
      <c r="A282" s="13" t="s">
        <v>339</v>
      </c>
      <c r="B282" s="8" t="s">
        <v>340</v>
      </c>
      <c r="C282" s="8">
        <v>4.5</v>
      </c>
      <c r="D282" s="11">
        <v>8580</v>
      </c>
      <c r="E282" s="9">
        <v>46</v>
      </c>
      <c r="F282" s="8">
        <v>2018</v>
      </c>
      <c r="G282" s="8" t="s">
        <v>9</v>
      </c>
    </row>
    <row r="283" spans="1:7" x14ac:dyDescent="0.3">
      <c r="A283" s="13" t="s">
        <v>341</v>
      </c>
      <c r="B283" s="8" t="s">
        <v>342</v>
      </c>
      <c r="C283" s="8">
        <v>4.8</v>
      </c>
      <c r="D283" s="11">
        <v>4757</v>
      </c>
      <c r="E283" s="9">
        <v>4</v>
      </c>
      <c r="F283" s="8">
        <v>2017</v>
      </c>
      <c r="G283" s="8" t="s">
        <v>12</v>
      </c>
    </row>
    <row r="284" spans="1:7" x14ac:dyDescent="0.3">
      <c r="A284" s="13" t="s">
        <v>343</v>
      </c>
      <c r="B284" s="8" t="s">
        <v>344</v>
      </c>
      <c r="C284" s="8">
        <v>4.5999999999999996</v>
      </c>
      <c r="D284" s="11">
        <v>10009</v>
      </c>
      <c r="E284" s="9">
        <v>20</v>
      </c>
      <c r="F284" s="8">
        <v>2012</v>
      </c>
      <c r="G284" s="8" t="s">
        <v>9</v>
      </c>
    </row>
    <row r="285" spans="1:7" x14ac:dyDescent="0.3">
      <c r="A285" s="13" t="s">
        <v>343</v>
      </c>
      <c r="B285" s="8" t="s">
        <v>344</v>
      </c>
      <c r="C285" s="8">
        <v>4.5999999999999996</v>
      </c>
      <c r="D285" s="11">
        <v>10009</v>
      </c>
      <c r="E285" s="9">
        <v>7</v>
      </c>
      <c r="F285" s="8">
        <v>2013</v>
      </c>
      <c r="G285" s="8" t="s">
        <v>9</v>
      </c>
    </row>
    <row r="286" spans="1:7" x14ac:dyDescent="0.3">
      <c r="A286" s="13" t="s">
        <v>345</v>
      </c>
      <c r="B286" s="8" t="s">
        <v>346</v>
      </c>
      <c r="C286" s="8">
        <v>4.7</v>
      </c>
      <c r="D286" s="11">
        <v>1985</v>
      </c>
      <c r="E286" s="9">
        <v>9</v>
      </c>
      <c r="F286" s="8">
        <v>2010</v>
      </c>
      <c r="G286" s="8" t="s">
        <v>9</v>
      </c>
    </row>
    <row r="287" spans="1:7" x14ac:dyDescent="0.3">
      <c r="A287" s="13" t="s">
        <v>345</v>
      </c>
      <c r="B287" s="8" t="s">
        <v>346</v>
      </c>
      <c r="C287" s="8">
        <v>4.7</v>
      </c>
      <c r="D287" s="11">
        <v>1985</v>
      </c>
      <c r="E287" s="9">
        <v>9</v>
      </c>
      <c r="F287" s="8">
        <v>2011</v>
      </c>
      <c r="G287" s="8" t="s">
        <v>9</v>
      </c>
    </row>
    <row r="288" spans="1:7" x14ac:dyDescent="0.3">
      <c r="A288" s="13" t="s">
        <v>347</v>
      </c>
      <c r="B288" s="8" t="s">
        <v>348</v>
      </c>
      <c r="C288" s="8">
        <v>4.5999999999999996</v>
      </c>
      <c r="D288" s="11">
        <v>22536</v>
      </c>
      <c r="E288" s="9">
        <v>12</v>
      </c>
      <c r="F288" s="8">
        <v>2017</v>
      </c>
      <c r="G288" s="8" t="s">
        <v>12</v>
      </c>
    </row>
    <row r="289" spans="1:7" x14ac:dyDescent="0.3">
      <c r="A289" s="13" t="s">
        <v>347</v>
      </c>
      <c r="B289" s="8" t="s">
        <v>348</v>
      </c>
      <c r="C289" s="8">
        <v>4.5999999999999996</v>
      </c>
      <c r="D289" s="11">
        <v>22536</v>
      </c>
      <c r="E289" s="9">
        <v>12</v>
      </c>
      <c r="F289" s="8">
        <v>2018</v>
      </c>
      <c r="G289" s="8" t="s">
        <v>12</v>
      </c>
    </row>
    <row r="290" spans="1:7" x14ac:dyDescent="0.3">
      <c r="A290" s="13" t="s">
        <v>349</v>
      </c>
      <c r="B290" s="8" t="s">
        <v>350</v>
      </c>
      <c r="C290" s="8">
        <v>4.9000000000000004</v>
      </c>
      <c r="D290" s="11">
        <v>7150</v>
      </c>
      <c r="E290" s="9">
        <v>12</v>
      </c>
      <c r="F290" s="8">
        <v>2013</v>
      </c>
      <c r="G290" s="8" t="s">
        <v>12</v>
      </c>
    </row>
    <row r="291" spans="1:7" x14ac:dyDescent="0.3">
      <c r="A291" s="13" t="s">
        <v>351</v>
      </c>
      <c r="B291" s="8" t="s">
        <v>350</v>
      </c>
      <c r="C291" s="8">
        <v>4.9000000000000004</v>
      </c>
      <c r="D291" s="11">
        <v>3836</v>
      </c>
      <c r="E291" s="9">
        <v>12</v>
      </c>
      <c r="F291" s="8">
        <v>2014</v>
      </c>
      <c r="G291" s="8" t="s">
        <v>12</v>
      </c>
    </row>
    <row r="292" spans="1:7" x14ac:dyDescent="0.3">
      <c r="A292" s="13" t="s">
        <v>352</v>
      </c>
      <c r="B292" s="8" t="s">
        <v>353</v>
      </c>
      <c r="C292" s="8">
        <v>4.8</v>
      </c>
      <c r="D292" s="11">
        <v>7802</v>
      </c>
      <c r="E292" s="9">
        <v>20</v>
      </c>
      <c r="F292" s="8">
        <v>2018</v>
      </c>
      <c r="G292" s="8" t="s">
        <v>9</v>
      </c>
    </row>
    <row r="293" spans="1:7" x14ac:dyDescent="0.3">
      <c r="A293" s="13" t="s">
        <v>352</v>
      </c>
      <c r="B293" s="8" t="s">
        <v>353</v>
      </c>
      <c r="C293" s="8">
        <v>4.8</v>
      </c>
      <c r="D293" s="11">
        <v>7802</v>
      </c>
      <c r="E293" s="9">
        <v>20</v>
      </c>
      <c r="F293" s="8">
        <v>2019</v>
      </c>
      <c r="G293" s="8" t="s">
        <v>9</v>
      </c>
    </row>
    <row r="294" spans="1:7" x14ac:dyDescent="0.3">
      <c r="A294" s="13" t="s">
        <v>354</v>
      </c>
      <c r="B294" s="8" t="s">
        <v>355</v>
      </c>
      <c r="C294" s="8">
        <v>4.5999999999999996</v>
      </c>
      <c r="D294" s="11">
        <v>3619</v>
      </c>
      <c r="E294" s="9">
        <v>10</v>
      </c>
      <c r="F294" s="8">
        <v>2010</v>
      </c>
      <c r="G294" s="8" t="s">
        <v>12</v>
      </c>
    </row>
    <row r="295" spans="1:7" x14ac:dyDescent="0.3">
      <c r="A295" s="13" t="s">
        <v>356</v>
      </c>
      <c r="B295" s="8" t="s">
        <v>357</v>
      </c>
      <c r="C295" s="8">
        <v>4.8</v>
      </c>
      <c r="D295" s="11">
        <v>23047</v>
      </c>
      <c r="E295" s="9">
        <v>6</v>
      </c>
      <c r="F295" s="8">
        <v>2018</v>
      </c>
      <c r="G295" s="8" t="s">
        <v>9</v>
      </c>
    </row>
    <row r="296" spans="1:7" x14ac:dyDescent="0.3">
      <c r="A296" s="13" t="s">
        <v>356</v>
      </c>
      <c r="B296" s="8" t="s">
        <v>357</v>
      </c>
      <c r="C296" s="8">
        <v>4.8</v>
      </c>
      <c r="D296" s="11">
        <v>23047</v>
      </c>
      <c r="E296" s="9">
        <v>6</v>
      </c>
      <c r="F296" s="8">
        <v>2019</v>
      </c>
      <c r="G296" s="8" t="s">
        <v>9</v>
      </c>
    </row>
    <row r="297" spans="1:7" x14ac:dyDescent="0.3">
      <c r="A297" s="13" t="s">
        <v>358</v>
      </c>
      <c r="B297" s="8" t="s">
        <v>149</v>
      </c>
      <c r="C297" s="8">
        <v>4.7</v>
      </c>
      <c r="D297" s="11">
        <v>9366</v>
      </c>
      <c r="E297" s="9">
        <v>9</v>
      </c>
      <c r="F297" s="8">
        <v>2015</v>
      </c>
      <c r="G297" s="8" t="s">
        <v>9</v>
      </c>
    </row>
    <row r="298" spans="1:7" x14ac:dyDescent="0.3">
      <c r="A298" s="13" t="s">
        <v>359</v>
      </c>
      <c r="B298" s="8" t="s">
        <v>360</v>
      </c>
      <c r="C298" s="8">
        <v>4.7</v>
      </c>
      <c r="D298" s="11">
        <v>1265</v>
      </c>
      <c r="E298" s="9">
        <v>11</v>
      </c>
      <c r="F298" s="8">
        <v>2010</v>
      </c>
      <c r="G298" s="8" t="s">
        <v>9</v>
      </c>
    </row>
    <row r="299" spans="1:7" x14ac:dyDescent="0.3">
      <c r="A299" s="13" t="s">
        <v>361</v>
      </c>
      <c r="B299" s="8" t="s">
        <v>362</v>
      </c>
      <c r="C299" s="8">
        <v>4.8</v>
      </c>
      <c r="D299" s="11">
        <v>3923</v>
      </c>
      <c r="E299" s="9">
        <v>16</v>
      </c>
      <c r="F299" s="8">
        <v>2018</v>
      </c>
      <c r="G299" s="8" t="s">
        <v>9</v>
      </c>
    </row>
    <row r="300" spans="1:7" x14ac:dyDescent="0.3">
      <c r="A300" s="13" t="s">
        <v>363</v>
      </c>
      <c r="B300" s="8" t="s">
        <v>364</v>
      </c>
      <c r="C300" s="8">
        <v>4.0999999999999996</v>
      </c>
      <c r="D300" s="11">
        <v>2272</v>
      </c>
      <c r="E300" s="9">
        <v>6</v>
      </c>
      <c r="F300" s="8">
        <v>2013</v>
      </c>
      <c r="G300" s="8" t="s">
        <v>9</v>
      </c>
    </row>
    <row r="301" spans="1:7" x14ac:dyDescent="0.3">
      <c r="A301" s="13" t="s">
        <v>365</v>
      </c>
      <c r="B301" s="8" t="s">
        <v>105</v>
      </c>
      <c r="C301" s="8">
        <v>4.7</v>
      </c>
      <c r="D301" s="11">
        <v>973</v>
      </c>
      <c r="E301" s="9">
        <v>25</v>
      </c>
      <c r="F301" s="8">
        <v>2009</v>
      </c>
      <c r="G301" s="8" t="s">
        <v>12</v>
      </c>
    </row>
    <row r="302" spans="1:7" x14ac:dyDescent="0.3">
      <c r="A302" s="13" t="s">
        <v>366</v>
      </c>
      <c r="B302" s="8" t="s">
        <v>124</v>
      </c>
      <c r="C302" s="8">
        <v>4.5999999999999996</v>
      </c>
      <c r="D302" s="11">
        <v>220</v>
      </c>
      <c r="E302" s="9">
        <v>17</v>
      </c>
      <c r="F302" s="8">
        <v>2013</v>
      </c>
      <c r="G302" s="8" t="s">
        <v>9</v>
      </c>
    </row>
    <row r="303" spans="1:7" x14ac:dyDescent="0.3">
      <c r="A303" s="13" t="s">
        <v>367</v>
      </c>
      <c r="B303" s="8" t="s">
        <v>275</v>
      </c>
      <c r="C303" s="8">
        <v>4.5999999999999996</v>
      </c>
      <c r="D303" s="11">
        <v>7827</v>
      </c>
      <c r="E303" s="9">
        <v>20</v>
      </c>
      <c r="F303" s="8">
        <v>2011</v>
      </c>
      <c r="G303" s="8" t="s">
        <v>9</v>
      </c>
    </row>
    <row r="304" spans="1:7" x14ac:dyDescent="0.3">
      <c r="A304" s="13" t="s">
        <v>367</v>
      </c>
      <c r="B304" s="8" t="s">
        <v>275</v>
      </c>
      <c r="C304" s="8">
        <v>4.5999999999999996</v>
      </c>
      <c r="D304" s="11">
        <v>7827</v>
      </c>
      <c r="E304" s="9">
        <v>20</v>
      </c>
      <c r="F304" s="8">
        <v>2012</v>
      </c>
      <c r="G304" s="8" t="s">
        <v>9</v>
      </c>
    </row>
    <row r="305" spans="1:7" x14ac:dyDescent="0.3">
      <c r="A305" s="13" t="s">
        <v>368</v>
      </c>
      <c r="B305" s="8" t="s">
        <v>369</v>
      </c>
      <c r="C305" s="8">
        <v>4.9000000000000004</v>
      </c>
      <c r="D305" s="11">
        <v>9382</v>
      </c>
      <c r="E305" s="9">
        <v>6</v>
      </c>
      <c r="F305" s="8">
        <v>2019</v>
      </c>
      <c r="G305" s="8" t="s">
        <v>12</v>
      </c>
    </row>
    <row r="306" spans="1:7" x14ac:dyDescent="0.3">
      <c r="A306" s="13" t="s">
        <v>370</v>
      </c>
      <c r="B306" s="8" t="s">
        <v>371</v>
      </c>
      <c r="C306" s="8">
        <v>4</v>
      </c>
      <c r="D306" s="11">
        <v>5069</v>
      </c>
      <c r="E306" s="9">
        <v>17</v>
      </c>
      <c r="F306" s="8">
        <v>2009</v>
      </c>
      <c r="G306" s="8" t="s">
        <v>9</v>
      </c>
    </row>
    <row r="307" spans="1:7" x14ac:dyDescent="0.3">
      <c r="A307" s="13" t="s">
        <v>370</v>
      </c>
      <c r="B307" s="8" t="s">
        <v>371</v>
      </c>
      <c r="C307" s="8">
        <v>4</v>
      </c>
      <c r="D307" s="11">
        <v>5069</v>
      </c>
      <c r="E307" s="9">
        <v>17</v>
      </c>
      <c r="F307" s="8">
        <v>2010</v>
      </c>
      <c r="G307" s="8" t="s">
        <v>9</v>
      </c>
    </row>
    <row r="308" spans="1:7" x14ac:dyDescent="0.3">
      <c r="A308" s="13" t="s">
        <v>370</v>
      </c>
      <c r="B308" s="8" t="s">
        <v>371</v>
      </c>
      <c r="C308" s="8">
        <v>4</v>
      </c>
      <c r="D308" s="11">
        <v>5069</v>
      </c>
      <c r="E308" s="9">
        <v>17</v>
      </c>
      <c r="F308" s="8">
        <v>2011</v>
      </c>
      <c r="G308" s="8" t="s">
        <v>9</v>
      </c>
    </row>
    <row r="309" spans="1:7" x14ac:dyDescent="0.3">
      <c r="A309" s="13" t="s">
        <v>370</v>
      </c>
      <c r="B309" s="8" t="s">
        <v>371</v>
      </c>
      <c r="C309" s="8">
        <v>4</v>
      </c>
      <c r="D309" s="11">
        <v>5069</v>
      </c>
      <c r="E309" s="9">
        <v>17</v>
      </c>
      <c r="F309" s="8">
        <v>2012</v>
      </c>
      <c r="G309" s="8" t="s">
        <v>9</v>
      </c>
    </row>
    <row r="310" spans="1:7" x14ac:dyDescent="0.3">
      <c r="A310" s="13" t="s">
        <v>370</v>
      </c>
      <c r="B310" s="8" t="s">
        <v>371</v>
      </c>
      <c r="C310" s="8">
        <v>4</v>
      </c>
      <c r="D310" s="11">
        <v>5069</v>
      </c>
      <c r="E310" s="9">
        <v>17</v>
      </c>
      <c r="F310" s="8">
        <v>2013</v>
      </c>
      <c r="G310" s="8" t="s">
        <v>9</v>
      </c>
    </row>
    <row r="311" spans="1:7" x14ac:dyDescent="0.3">
      <c r="A311" s="13" t="s">
        <v>370</v>
      </c>
      <c r="B311" s="8" t="s">
        <v>371</v>
      </c>
      <c r="C311" s="8">
        <v>4</v>
      </c>
      <c r="D311" s="11">
        <v>5069</v>
      </c>
      <c r="E311" s="9">
        <v>17</v>
      </c>
      <c r="F311" s="8">
        <v>2014</v>
      </c>
      <c r="G311" s="8" t="s">
        <v>9</v>
      </c>
    </row>
    <row r="312" spans="1:7" x14ac:dyDescent="0.3">
      <c r="A312" s="13" t="s">
        <v>370</v>
      </c>
      <c r="B312" s="8" t="s">
        <v>371</v>
      </c>
      <c r="C312" s="8">
        <v>4</v>
      </c>
      <c r="D312" s="11">
        <v>5069</v>
      </c>
      <c r="E312" s="9">
        <v>17</v>
      </c>
      <c r="F312" s="8">
        <v>2015</v>
      </c>
      <c r="G312" s="8" t="s">
        <v>9</v>
      </c>
    </row>
    <row r="313" spans="1:7" x14ac:dyDescent="0.3">
      <c r="A313" s="13" t="s">
        <v>370</v>
      </c>
      <c r="B313" s="8" t="s">
        <v>371</v>
      </c>
      <c r="C313" s="8">
        <v>4</v>
      </c>
      <c r="D313" s="11">
        <v>5069</v>
      </c>
      <c r="E313" s="9">
        <v>17</v>
      </c>
      <c r="F313" s="8">
        <v>2016</v>
      </c>
      <c r="G313" s="8" t="s">
        <v>9</v>
      </c>
    </row>
    <row r="314" spans="1:7" x14ac:dyDescent="0.3">
      <c r="A314" s="13" t="s">
        <v>370</v>
      </c>
      <c r="B314" s="8" t="s">
        <v>371</v>
      </c>
      <c r="C314" s="8">
        <v>4</v>
      </c>
      <c r="D314" s="11">
        <v>5069</v>
      </c>
      <c r="E314" s="9">
        <v>17</v>
      </c>
      <c r="F314" s="8">
        <v>2017</v>
      </c>
      <c r="G314" s="8" t="s">
        <v>9</v>
      </c>
    </row>
    <row r="315" spans="1:7" x14ac:dyDescent="0.3">
      <c r="A315" s="13" t="s">
        <v>372</v>
      </c>
      <c r="B315" s="8" t="s">
        <v>373</v>
      </c>
      <c r="C315" s="8">
        <v>4.5</v>
      </c>
      <c r="D315" s="11">
        <v>1583</v>
      </c>
      <c r="E315" s="9">
        <v>18</v>
      </c>
      <c r="F315" s="8">
        <v>2009</v>
      </c>
      <c r="G315" s="8" t="s">
        <v>9</v>
      </c>
    </row>
    <row r="316" spans="1:7" x14ac:dyDescent="0.3">
      <c r="A316" s="13" t="s">
        <v>374</v>
      </c>
      <c r="B316" s="8" t="s">
        <v>375</v>
      </c>
      <c r="C316" s="8">
        <v>4.5999999999999996</v>
      </c>
      <c r="D316" s="11">
        <v>1907</v>
      </c>
      <c r="E316" s="9">
        <v>13</v>
      </c>
      <c r="F316" s="8">
        <v>2010</v>
      </c>
      <c r="G316" s="8" t="s">
        <v>9</v>
      </c>
    </row>
    <row r="317" spans="1:7" x14ac:dyDescent="0.3">
      <c r="A317" s="13" t="s">
        <v>376</v>
      </c>
      <c r="B317" s="8" t="s">
        <v>377</v>
      </c>
      <c r="C317" s="8">
        <v>4.5</v>
      </c>
      <c r="D317" s="11">
        <v>23114</v>
      </c>
      <c r="E317" s="9">
        <v>18</v>
      </c>
      <c r="F317" s="8">
        <v>2013</v>
      </c>
      <c r="G317" s="8" t="s">
        <v>12</v>
      </c>
    </row>
    <row r="318" spans="1:7" x14ac:dyDescent="0.3">
      <c r="A318" s="13" t="s">
        <v>378</v>
      </c>
      <c r="B318" s="8" t="s">
        <v>379</v>
      </c>
      <c r="C318" s="8">
        <v>4.4000000000000004</v>
      </c>
      <c r="D318" s="11">
        <v>637</v>
      </c>
      <c r="E318" s="9">
        <v>20</v>
      </c>
      <c r="F318" s="8">
        <v>2010</v>
      </c>
      <c r="G318" s="8" t="s">
        <v>9</v>
      </c>
    </row>
    <row r="319" spans="1:7" x14ac:dyDescent="0.3">
      <c r="A319" s="13" t="s">
        <v>378</v>
      </c>
      <c r="B319" s="8" t="s">
        <v>379</v>
      </c>
      <c r="C319" s="8">
        <v>4.4000000000000004</v>
      </c>
      <c r="D319" s="11">
        <v>637</v>
      </c>
      <c r="E319" s="9">
        <v>20</v>
      </c>
      <c r="F319" s="8">
        <v>2011</v>
      </c>
      <c r="G319" s="8" t="s">
        <v>9</v>
      </c>
    </row>
    <row r="320" spans="1:7" x14ac:dyDescent="0.3">
      <c r="A320" s="13" t="s">
        <v>380</v>
      </c>
      <c r="B320" s="8" t="s">
        <v>381</v>
      </c>
      <c r="C320" s="8">
        <v>4.3</v>
      </c>
      <c r="D320" s="11">
        <v>2314</v>
      </c>
      <c r="E320" s="9">
        <v>22</v>
      </c>
      <c r="F320" s="8">
        <v>2011</v>
      </c>
      <c r="G320" s="8" t="s">
        <v>9</v>
      </c>
    </row>
    <row r="321" spans="1:7" x14ac:dyDescent="0.3">
      <c r="A321" s="13" t="s">
        <v>382</v>
      </c>
      <c r="B321" s="8" t="s">
        <v>383</v>
      </c>
      <c r="C321" s="8">
        <v>4.3</v>
      </c>
      <c r="D321" s="11">
        <v>4587</v>
      </c>
      <c r="E321" s="9">
        <v>21</v>
      </c>
      <c r="F321" s="8">
        <v>2011</v>
      </c>
      <c r="G321" s="8" t="s">
        <v>9</v>
      </c>
    </row>
    <row r="322" spans="1:7" x14ac:dyDescent="0.3">
      <c r="A322" s="13" t="s">
        <v>384</v>
      </c>
      <c r="B322" s="8" t="s">
        <v>385</v>
      </c>
      <c r="C322" s="8">
        <v>4.7</v>
      </c>
      <c r="D322" s="11">
        <v>3477</v>
      </c>
      <c r="E322" s="9">
        <v>28</v>
      </c>
      <c r="F322" s="8">
        <v>2010</v>
      </c>
      <c r="G322" s="8" t="s">
        <v>9</v>
      </c>
    </row>
    <row r="323" spans="1:7" x14ac:dyDescent="0.3">
      <c r="A323" s="13" t="s">
        <v>384</v>
      </c>
      <c r="B323" s="8" t="s">
        <v>385</v>
      </c>
      <c r="C323" s="8">
        <v>4.7</v>
      </c>
      <c r="D323" s="11">
        <v>3477</v>
      </c>
      <c r="E323" s="9">
        <v>28</v>
      </c>
      <c r="F323" s="8">
        <v>2011</v>
      </c>
      <c r="G323" s="8" t="s">
        <v>9</v>
      </c>
    </row>
    <row r="324" spans="1:7" x14ac:dyDescent="0.3">
      <c r="A324" s="13" t="s">
        <v>384</v>
      </c>
      <c r="B324" s="8" t="s">
        <v>385</v>
      </c>
      <c r="C324" s="8">
        <v>4.7</v>
      </c>
      <c r="D324" s="11">
        <v>3477</v>
      </c>
      <c r="E324" s="9">
        <v>28</v>
      </c>
      <c r="F324" s="8">
        <v>2012</v>
      </c>
      <c r="G324" s="8" t="s">
        <v>9</v>
      </c>
    </row>
    <row r="325" spans="1:7" x14ac:dyDescent="0.3">
      <c r="A325" s="13" t="s">
        <v>384</v>
      </c>
      <c r="B325" s="8" t="s">
        <v>385</v>
      </c>
      <c r="C325" s="8">
        <v>4.7</v>
      </c>
      <c r="D325" s="11">
        <v>3477</v>
      </c>
      <c r="E325" s="9">
        <v>28</v>
      </c>
      <c r="F325" s="8">
        <v>2013</v>
      </c>
      <c r="G325" s="8" t="s">
        <v>9</v>
      </c>
    </row>
    <row r="326" spans="1:7" x14ac:dyDescent="0.3">
      <c r="A326" s="13" t="s">
        <v>384</v>
      </c>
      <c r="B326" s="8" t="s">
        <v>385</v>
      </c>
      <c r="C326" s="8">
        <v>4.7</v>
      </c>
      <c r="D326" s="11">
        <v>3477</v>
      </c>
      <c r="E326" s="9">
        <v>28</v>
      </c>
      <c r="F326" s="8">
        <v>2014</v>
      </c>
      <c r="G326" s="8" t="s">
        <v>9</v>
      </c>
    </row>
    <row r="327" spans="1:7" x14ac:dyDescent="0.3">
      <c r="A327" s="13" t="s">
        <v>386</v>
      </c>
      <c r="B327" s="8" t="s">
        <v>385</v>
      </c>
      <c r="C327" s="8">
        <v>4.8</v>
      </c>
      <c r="D327" s="11">
        <v>25554</v>
      </c>
      <c r="E327" s="9">
        <v>8</v>
      </c>
      <c r="F327" s="8">
        <v>2015</v>
      </c>
      <c r="G327" s="8" t="s">
        <v>9</v>
      </c>
    </row>
    <row r="328" spans="1:7" x14ac:dyDescent="0.3">
      <c r="A328" s="13" t="s">
        <v>386</v>
      </c>
      <c r="B328" s="8" t="s">
        <v>385</v>
      </c>
      <c r="C328" s="8">
        <v>4.8</v>
      </c>
      <c r="D328" s="11">
        <v>25554</v>
      </c>
      <c r="E328" s="9">
        <v>8</v>
      </c>
      <c r="F328" s="8">
        <v>2016</v>
      </c>
      <c r="G328" s="8" t="s">
        <v>9</v>
      </c>
    </row>
    <row r="329" spans="1:7" x14ac:dyDescent="0.3">
      <c r="A329" s="13" t="s">
        <v>386</v>
      </c>
      <c r="B329" s="8" t="s">
        <v>385</v>
      </c>
      <c r="C329" s="8">
        <v>4.8</v>
      </c>
      <c r="D329" s="11">
        <v>25554</v>
      </c>
      <c r="E329" s="9">
        <v>8</v>
      </c>
      <c r="F329" s="8">
        <v>2017</v>
      </c>
      <c r="G329" s="8" t="s">
        <v>9</v>
      </c>
    </row>
    <row r="330" spans="1:7" x14ac:dyDescent="0.3">
      <c r="A330" s="13" t="s">
        <v>386</v>
      </c>
      <c r="B330" s="8" t="s">
        <v>385</v>
      </c>
      <c r="C330" s="8">
        <v>4.8</v>
      </c>
      <c r="D330" s="11">
        <v>25554</v>
      </c>
      <c r="E330" s="9">
        <v>8</v>
      </c>
      <c r="F330" s="8">
        <v>2018</v>
      </c>
      <c r="G330" s="8" t="s">
        <v>9</v>
      </c>
    </row>
    <row r="331" spans="1:7" x14ac:dyDescent="0.3">
      <c r="A331" s="13" t="s">
        <v>386</v>
      </c>
      <c r="B331" s="8" t="s">
        <v>385</v>
      </c>
      <c r="C331" s="8">
        <v>4.8</v>
      </c>
      <c r="D331" s="11">
        <v>25554</v>
      </c>
      <c r="E331" s="9">
        <v>8</v>
      </c>
      <c r="F331" s="8">
        <v>2019</v>
      </c>
      <c r="G331" s="8" t="s">
        <v>9</v>
      </c>
    </row>
    <row r="332" spans="1:7" x14ac:dyDescent="0.3">
      <c r="A332" s="13" t="s">
        <v>387</v>
      </c>
      <c r="B332" s="8" t="s">
        <v>388</v>
      </c>
      <c r="C332" s="8">
        <v>4.8</v>
      </c>
      <c r="D332" s="11">
        <v>1680</v>
      </c>
      <c r="E332" s="9">
        <v>12</v>
      </c>
      <c r="F332" s="8">
        <v>2009</v>
      </c>
      <c r="G332" s="8" t="s">
        <v>9</v>
      </c>
    </row>
    <row r="333" spans="1:7" x14ac:dyDescent="0.3">
      <c r="A333" s="13" t="s">
        <v>389</v>
      </c>
      <c r="B333" s="8" t="s">
        <v>390</v>
      </c>
      <c r="C333" s="8">
        <v>4.5999999999999996</v>
      </c>
      <c r="D333" s="11">
        <v>9325</v>
      </c>
      <c r="E333" s="9">
        <v>24</v>
      </c>
      <c r="F333" s="8">
        <v>2009</v>
      </c>
      <c r="G333" s="8" t="s">
        <v>9</v>
      </c>
    </row>
    <row r="334" spans="1:7" x14ac:dyDescent="0.3">
      <c r="A334" s="13" t="s">
        <v>389</v>
      </c>
      <c r="B334" s="8" t="s">
        <v>390</v>
      </c>
      <c r="C334" s="8">
        <v>4.5999999999999996</v>
      </c>
      <c r="D334" s="11">
        <v>9325</v>
      </c>
      <c r="E334" s="9">
        <v>24</v>
      </c>
      <c r="F334" s="8">
        <v>2011</v>
      </c>
      <c r="G334" s="8" t="s">
        <v>9</v>
      </c>
    </row>
    <row r="335" spans="1:7" x14ac:dyDescent="0.3">
      <c r="A335" s="13" t="s">
        <v>389</v>
      </c>
      <c r="B335" s="8" t="s">
        <v>390</v>
      </c>
      <c r="C335" s="8">
        <v>4.5999999999999996</v>
      </c>
      <c r="D335" s="11">
        <v>9325</v>
      </c>
      <c r="E335" s="9">
        <v>24</v>
      </c>
      <c r="F335" s="8">
        <v>2012</v>
      </c>
      <c r="G335" s="8" t="s">
        <v>9</v>
      </c>
    </row>
    <row r="336" spans="1:7" x14ac:dyDescent="0.3">
      <c r="A336" s="13" t="s">
        <v>389</v>
      </c>
      <c r="B336" s="8" t="s">
        <v>390</v>
      </c>
      <c r="C336" s="8">
        <v>4.5999999999999996</v>
      </c>
      <c r="D336" s="11">
        <v>9325</v>
      </c>
      <c r="E336" s="9">
        <v>24</v>
      </c>
      <c r="F336" s="8">
        <v>2013</v>
      </c>
      <c r="G336" s="8" t="s">
        <v>9</v>
      </c>
    </row>
    <row r="337" spans="1:7" x14ac:dyDescent="0.3">
      <c r="A337" s="13" t="s">
        <v>389</v>
      </c>
      <c r="B337" s="8" t="s">
        <v>390</v>
      </c>
      <c r="C337" s="8">
        <v>4.7</v>
      </c>
      <c r="D337" s="11">
        <v>4725</v>
      </c>
      <c r="E337" s="9">
        <v>16</v>
      </c>
      <c r="F337" s="8">
        <v>2015</v>
      </c>
      <c r="G337" s="8" t="s">
        <v>9</v>
      </c>
    </row>
    <row r="338" spans="1:7" x14ac:dyDescent="0.3">
      <c r="A338" s="13" t="s">
        <v>389</v>
      </c>
      <c r="B338" s="8" t="s">
        <v>390</v>
      </c>
      <c r="C338" s="8">
        <v>4.7</v>
      </c>
      <c r="D338" s="11">
        <v>4725</v>
      </c>
      <c r="E338" s="9">
        <v>16</v>
      </c>
      <c r="F338" s="8">
        <v>2016</v>
      </c>
      <c r="G338" s="8" t="s">
        <v>9</v>
      </c>
    </row>
    <row r="339" spans="1:7" x14ac:dyDescent="0.3">
      <c r="A339" s="13" t="s">
        <v>389</v>
      </c>
      <c r="B339" s="8" t="s">
        <v>390</v>
      </c>
      <c r="C339" s="8">
        <v>4.7</v>
      </c>
      <c r="D339" s="11">
        <v>4725</v>
      </c>
      <c r="E339" s="9">
        <v>16</v>
      </c>
      <c r="F339" s="8">
        <v>2017</v>
      </c>
      <c r="G339" s="8" t="s">
        <v>9</v>
      </c>
    </row>
    <row r="340" spans="1:7" x14ac:dyDescent="0.3">
      <c r="A340" s="13" t="s">
        <v>391</v>
      </c>
      <c r="B340" s="8" t="s">
        <v>392</v>
      </c>
      <c r="C340" s="8">
        <v>4.7</v>
      </c>
      <c r="D340" s="11">
        <v>35799</v>
      </c>
      <c r="E340" s="9">
        <v>39</v>
      </c>
      <c r="F340" s="8">
        <v>2014</v>
      </c>
      <c r="G340" s="8" t="s">
        <v>12</v>
      </c>
    </row>
    <row r="341" spans="1:7" x14ac:dyDescent="0.3">
      <c r="A341" s="13" t="s">
        <v>393</v>
      </c>
      <c r="B341" s="8" t="s">
        <v>394</v>
      </c>
      <c r="C341" s="8">
        <v>4.5999999999999996</v>
      </c>
      <c r="D341" s="11">
        <v>2580</v>
      </c>
      <c r="E341" s="9">
        <v>9</v>
      </c>
      <c r="F341" s="8">
        <v>2012</v>
      </c>
      <c r="G341" s="8" t="s">
        <v>9</v>
      </c>
    </row>
    <row r="342" spans="1:7" x14ac:dyDescent="0.3">
      <c r="A342" s="13" t="s">
        <v>395</v>
      </c>
      <c r="B342" s="8" t="s">
        <v>396</v>
      </c>
      <c r="C342" s="8">
        <v>4.7</v>
      </c>
      <c r="D342" s="11">
        <v>11813</v>
      </c>
      <c r="E342" s="9">
        <v>10</v>
      </c>
      <c r="F342" s="8">
        <v>2010</v>
      </c>
      <c r="G342" s="8" t="s">
        <v>12</v>
      </c>
    </row>
    <row r="343" spans="1:7" x14ac:dyDescent="0.3">
      <c r="A343" s="13" t="s">
        <v>395</v>
      </c>
      <c r="B343" s="8" t="s">
        <v>396</v>
      </c>
      <c r="C343" s="8">
        <v>4.7</v>
      </c>
      <c r="D343" s="11">
        <v>11813</v>
      </c>
      <c r="E343" s="9">
        <v>10</v>
      </c>
      <c r="F343" s="8">
        <v>2011</v>
      </c>
      <c r="G343" s="8" t="s">
        <v>12</v>
      </c>
    </row>
    <row r="344" spans="1:7" x14ac:dyDescent="0.3">
      <c r="A344" s="13" t="s">
        <v>397</v>
      </c>
      <c r="B344" s="8" t="s">
        <v>398</v>
      </c>
      <c r="C344" s="8">
        <v>4.7</v>
      </c>
      <c r="D344" s="11">
        <v>3536</v>
      </c>
      <c r="E344" s="9">
        <v>17</v>
      </c>
      <c r="F344" s="8">
        <v>2010</v>
      </c>
      <c r="G344" s="8" t="s">
        <v>9</v>
      </c>
    </row>
    <row r="345" spans="1:7" x14ac:dyDescent="0.3">
      <c r="A345" s="13" t="s">
        <v>399</v>
      </c>
      <c r="B345" s="8" t="s">
        <v>333</v>
      </c>
      <c r="C345" s="8">
        <v>4.8</v>
      </c>
      <c r="D345" s="11">
        <v>6600</v>
      </c>
      <c r="E345" s="9">
        <v>11</v>
      </c>
      <c r="F345" s="8">
        <v>2014</v>
      </c>
      <c r="G345" s="8" t="s">
        <v>12</v>
      </c>
    </row>
    <row r="346" spans="1:7" x14ac:dyDescent="0.3">
      <c r="A346" s="13" t="s">
        <v>400</v>
      </c>
      <c r="B346" s="8" t="s">
        <v>401</v>
      </c>
      <c r="C346" s="8">
        <v>4.2</v>
      </c>
      <c r="D346" s="11">
        <v>1789</v>
      </c>
      <c r="E346" s="9">
        <v>14</v>
      </c>
      <c r="F346" s="8">
        <v>2012</v>
      </c>
      <c r="G346" s="8" t="s">
        <v>9</v>
      </c>
    </row>
    <row r="347" spans="1:7" x14ac:dyDescent="0.3">
      <c r="A347" s="13" t="s">
        <v>402</v>
      </c>
      <c r="B347" s="8" t="s">
        <v>403</v>
      </c>
      <c r="C347" s="8">
        <v>4.8</v>
      </c>
      <c r="D347" s="11">
        <v>12361</v>
      </c>
      <c r="E347" s="9">
        <v>12</v>
      </c>
      <c r="F347" s="8">
        <v>2019</v>
      </c>
      <c r="G347" s="8" t="s">
        <v>9</v>
      </c>
    </row>
    <row r="348" spans="1:7" x14ac:dyDescent="0.3">
      <c r="A348" s="13" t="s">
        <v>404</v>
      </c>
      <c r="B348" s="8" t="s">
        <v>405</v>
      </c>
      <c r="C348" s="8">
        <v>4.7</v>
      </c>
      <c r="D348" s="11">
        <v>858</v>
      </c>
      <c r="E348" s="9">
        <v>53</v>
      </c>
      <c r="F348" s="8">
        <v>2009</v>
      </c>
      <c r="G348" s="8" t="s">
        <v>9</v>
      </c>
    </row>
    <row r="349" spans="1:7" x14ac:dyDescent="0.3">
      <c r="A349" s="13" t="s">
        <v>406</v>
      </c>
      <c r="B349" s="8" t="s">
        <v>407</v>
      </c>
      <c r="C349" s="8">
        <v>4.5999999999999996</v>
      </c>
      <c r="D349" s="11">
        <v>23148</v>
      </c>
      <c r="E349" s="9">
        <v>6</v>
      </c>
      <c r="F349" s="8">
        <v>2013</v>
      </c>
      <c r="G349" s="8" t="s">
        <v>12</v>
      </c>
    </row>
    <row r="350" spans="1:7" x14ac:dyDescent="0.3">
      <c r="A350" s="13" t="s">
        <v>406</v>
      </c>
      <c r="B350" s="8" t="s">
        <v>407</v>
      </c>
      <c r="C350" s="8">
        <v>4.5999999999999996</v>
      </c>
      <c r="D350" s="11">
        <v>23148</v>
      </c>
      <c r="E350" s="9">
        <v>6</v>
      </c>
      <c r="F350" s="8">
        <v>2014</v>
      </c>
      <c r="G350" s="8" t="s">
        <v>12</v>
      </c>
    </row>
    <row r="351" spans="1:7" x14ac:dyDescent="0.3">
      <c r="A351" s="13" t="s">
        <v>408</v>
      </c>
      <c r="B351" s="8" t="s">
        <v>409</v>
      </c>
      <c r="C351" s="8">
        <v>4.8</v>
      </c>
      <c r="D351" s="11">
        <v>8081</v>
      </c>
      <c r="E351" s="9">
        <v>8</v>
      </c>
      <c r="F351" s="8">
        <v>2014</v>
      </c>
      <c r="G351" s="8" t="s">
        <v>12</v>
      </c>
    </row>
    <row r="352" spans="1:7" x14ac:dyDescent="0.3">
      <c r="A352" s="13" t="s">
        <v>408</v>
      </c>
      <c r="B352" s="8" t="s">
        <v>409</v>
      </c>
      <c r="C352" s="8">
        <v>4.8</v>
      </c>
      <c r="D352" s="11">
        <v>8081</v>
      </c>
      <c r="E352" s="9">
        <v>8</v>
      </c>
      <c r="F352" s="8">
        <v>2015</v>
      </c>
      <c r="G352" s="8" t="s">
        <v>12</v>
      </c>
    </row>
    <row r="353" spans="1:7" x14ac:dyDescent="0.3">
      <c r="A353" s="13" t="s">
        <v>410</v>
      </c>
      <c r="B353" s="8" t="s">
        <v>411</v>
      </c>
      <c r="C353" s="8">
        <v>4.8</v>
      </c>
      <c r="D353" s="11">
        <v>23358</v>
      </c>
      <c r="E353" s="9">
        <v>12</v>
      </c>
      <c r="F353" s="8">
        <v>2014</v>
      </c>
      <c r="G353" s="8" t="s">
        <v>9</v>
      </c>
    </row>
    <row r="354" spans="1:7" x14ac:dyDescent="0.3">
      <c r="A354" s="13" t="s">
        <v>410</v>
      </c>
      <c r="B354" s="8" t="s">
        <v>411</v>
      </c>
      <c r="C354" s="8">
        <v>4.8</v>
      </c>
      <c r="D354" s="11">
        <v>23358</v>
      </c>
      <c r="E354" s="9">
        <v>12</v>
      </c>
      <c r="F354" s="8">
        <v>2015</v>
      </c>
      <c r="G354" s="8" t="s">
        <v>9</v>
      </c>
    </row>
    <row r="355" spans="1:7" x14ac:dyDescent="0.3">
      <c r="A355" s="13" t="s">
        <v>412</v>
      </c>
      <c r="B355" s="8" t="s">
        <v>153</v>
      </c>
      <c r="C355" s="8">
        <v>3.3</v>
      </c>
      <c r="D355" s="11">
        <v>9372</v>
      </c>
      <c r="E355" s="9">
        <v>12</v>
      </c>
      <c r="F355" s="8">
        <v>2012</v>
      </c>
      <c r="G355" s="8" t="s">
        <v>12</v>
      </c>
    </row>
    <row r="356" spans="1:7" x14ac:dyDescent="0.3">
      <c r="A356" s="13" t="s">
        <v>413</v>
      </c>
      <c r="B356" s="8" t="s">
        <v>414</v>
      </c>
      <c r="C356" s="8">
        <v>4.7</v>
      </c>
      <c r="D356" s="11">
        <v>4633</v>
      </c>
      <c r="E356" s="9">
        <v>21</v>
      </c>
      <c r="F356" s="8">
        <v>2011</v>
      </c>
      <c r="G356" s="8" t="s">
        <v>9</v>
      </c>
    </row>
    <row r="357" spans="1:7" x14ac:dyDescent="0.3">
      <c r="A357" s="13" t="s">
        <v>415</v>
      </c>
      <c r="B357" s="8" t="s">
        <v>416</v>
      </c>
      <c r="C357" s="8">
        <v>4.3</v>
      </c>
      <c r="D357" s="11">
        <v>13061</v>
      </c>
      <c r="E357" s="9">
        <v>6</v>
      </c>
      <c r="F357" s="8">
        <v>2018</v>
      </c>
      <c r="G357" s="8" t="s">
        <v>9</v>
      </c>
    </row>
    <row r="358" spans="1:7" x14ac:dyDescent="0.3">
      <c r="A358" s="13" t="s">
        <v>415</v>
      </c>
      <c r="B358" s="8" t="s">
        <v>416</v>
      </c>
      <c r="C358" s="8">
        <v>4.3</v>
      </c>
      <c r="D358" s="11">
        <v>13061</v>
      </c>
      <c r="E358" s="9">
        <v>6</v>
      </c>
      <c r="F358" s="8">
        <v>2019</v>
      </c>
      <c r="G358" s="8" t="s">
        <v>9</v>
      </c>
    </row>
    <row r="359" spans="1:7" x14ac:dyDescent="0.3">
      <c r="A359" s="13" t="s">
        <v>417</v>
      </c>
      <c r="B359" s="8" t="s">
        <v>377</v>
      </c>
      <c r="C359" s="8">
        <v>4.3</v>
      </c>
      <c r="D359" s="11">
        <v>3523</v>
      </c>
      <c r="E359" s="9">
        <v>13</v>
      </c>
      <c r="F359" s="8">
        <v>2010</v>
      </c>
      <c r="G359" s="8" t="s">
        <v>12</v>
      </c>
    </row>
    <row r="360" spans="1:7" x14ac:dyDescent="0.3">
      <c r="A360" s="13" t="s">
        <v>418</v>
      </c>
      <c r="B360" s="8" t="s">
        <v>419</v>
      </c>
      <c r="C360" s="8">
        <v>4.8</v>
      </c>
      <c r="D360" s="11">
        <v>2774</v>
      </c>
      <c r="E360" s="9">
        <v>7</v>
      </c>
      <c r="F360" s="8">
        <v>2016</v>
      </c>
      <c r="G360" s="8" t="s">
        <v>9</v>
      </c>
    </row>
    <row r="361" spans="1:7" x14ac:dyDescent="0.3">
      <c r="A361" s="13" t="s">
        <v>420</v>
      </c>
      <c r="B361" s="8" t="s">
        <v>421</v>
      </c>
      <c r="C361" s="8">
        <v>4.4000000000000004</v>
      </c>
      <c r="D361" s="11">
        <v>440</v>
      </c>
      <c r="E361" s="9">
        <v>11</v>
      </c>
      <c r="F361" s="8">
        <v>2010</v>
      </c>
      <c r="G361" s="8" t="s">
        <v>9</v>
      </c>
    </row>
    <row r="362" spans="1:7" x14ac:dyDescent="0.3">
      <c r="A362" s="13" t="s">
        <v>422</v>
      </c>
      <c r="B362" s="8" t="s">
        <v>423</v>
      </c>
      <c r="C362" s="8">
        <v>4.8</v>
      </c>
      <c r="D362" s="11">
        <v>8922</v>
      </c>
      <c r="E362" s="9">
        <v>9</v>
      </c>
      <c r="F362" s="8">
        <v>2013</v>
      </c>
      <c r="G362" s="8" t="s">
        <v>12</v>
      </c>
    </row>
    <row r="363" spans="1:7" x14ac:dyDescent="0.3">
      <c r="A363" s="13" t="s">
        <v>422</v>
      </c>
      <c r="B363" s="8" t="s">
        <v>423</v>
      </c>
      <c r="C363" s="8">
        <v>4.8</v>
      </c>
      <c r="D363" s="11">
        <v>8922</v>
      </c>
      <c r="E363" s="9">
        <v>9</v>
      </c>
      <c r="F363" s="8">
        <v>2014</v>
      </c>
      <c r="G363" s="8" t="s">
        <v>12</v>
      </c>
    </row>
    <row r="364" spans="1:7" x14ac:dyDescent="0.3">
      <c r="A364" s="13" t="s">
        <v>422</v>
      </c>
      <c r="B364" s="8" t="s">
        <v>423</v>
      </c>
      <c r="C364" s="8">
        <v>4.8</v>
      </c>
      <c r="D364" s="11">
        <v>8922</v>
      </c>
      <c r="E364" s="9">
        <v>9</v>
      </c>
      <c r="F364" s="8">
        <v>2015</v>
      </c>
      <c r="G364" s="8" t="s">
        <v>12</v>
      </c>
    </row>
    <row r="365" spans="1:7" x14ac:dyDescent="0.3">
      <c r="A365" s="13" t="s">
        <v>424</v>
      </c>
      <c r="B365" s="8" t="s">
        <v>425</v>
      </c>
      <c r="C365" s="8">
        <v>4.0999999999999996</v>
      </c>
      <c r="D365" s="11">
        <v>2023</v>
      </c>
      <c r="E365" s="9">
        <v>15</v>
      </c>
      <c r="F365" s="8">
        <v>2011</v>
      </c>
      <c r="G365" s="8" t="s">
        <v>9</v>
      </c>
    </row>
    <row r="366" spans="1:7" x14ac:dyDescent="0.3">
      <c r="A366" s="13" t="s">
        <v>426</v>
      </c>
      <c r="B366" s="8" t="s">
        <v>427</v>
      </c>
      <c r="C366" s="8">
        <v>4</v>
      </c>
      <c r="D366" s="11">
        <v>1859</v>
      </c>
      <c r="E366" s="9">
        <v>11</v>
      </c>
      <c r="F366" s="8">
        <v>2009</v>
      </c>
      <c r="G366" s="8" t="s">
        <v>12</v>
      </c>
    </row>
    <row r="367" spans="1:7" x14ac:dyDescent="0.3">
      <c r="A367" s="13" t="s">
        <v>428</v>
      </c>
      <c r="B367" s="8" t="s">
        <v>289</v>
      </c>
      <c r="C367" s="8">
        <v>4.7</v>
      </c>
      <c r="D367" s="11">
        <v>50482</v>
      </c>
      <c r="E367" s="9">
        <v>13</v>
      </c>
      <c r="F367" s="8">
        <v>2012</v>
      </c>
      <c r="G367" s="8" t="s">
        <v>12</v>
      </c>
    </row>
    <row r="368" spans="1:7" x14ac:dyDescent="0.3">
      <c r="A368" s="13" t="s">
        <v>428</v>
      </c>
      <c r="B368" s="8" t="s">
        <v>289</v>
      </c>
      <c r="C368" s="8">
        <v>4.7</v>
      </c>
      <c r="D368" s="11">
        <v>50482</v>
      </c>
      <c r="E368" s="9">
        <v>13</v>
      </c>
      <c r="F368" s="8">
        <v>2013</v>
      </c>
      <c r="G368" s="8" t="s">
        <v>12</v>
      </c>
    </row>
    <row r="369" spans="1:7" x14ac:dyDescent="0.3">
      <c r="A369" s="13" t="s">
        <v>428</v>
      </c>
      <c r="B369" s="8" t="s">
        <v>289</v>
      </c>
      <c r="C369" s="8">
        <v>4.7</v>
      </c>
      <c r="D369" s="11">
        <v>50482</v>
      </c>
      <c r="E369" s="9">
        <v>10</v>
      </c>
      <c r="F369" s="8">
        <v>2014</v>
      </c>
      <c r="G369" s="8" t="s">
        <v>12</v>
      </c>
    </row>
    <row r="370" spans="1:7" x14ac:dyDescent="0.3">
      <c r="A370" s="13" t="s">
        <v>429</v>
      </c>
      <c r="B370" s="8" t="s">
        <v>430</v>
      </c>
      <c r="C370" s="8">
        <v>4.5999999999999996</v>
      </c>
      <c r="D370" s="11">
        <v>3207</v>
      </c>
      <c r="E370" s="9">
        <v>6</v>
      </c>
      <c r="F370" s="8">
        <v>2009</v>
      </c>
      <c r="G370" s="8" t="s">
        <v>9</v>
      </c>
    </row>
    <row r="371" spans="1:7" x14ac:dyDescent="0.3">
      <c r="A371" s="13" t="s">
        <v>429</v>
      </c>
      <c r="B371" s="8" t="s">
        <v>430</v>
      </c>
      <c r="C371" s="8">
        <v>4.5999999999999996</v>
      </c>
      <c r="D371" s="11">
        <v>3207</v>
      </c>
      <c r="E371" s="9">
        <v>6</v>
      </c>
      <c r="F371" s="8">
        <v>2010</v>
      </c>
      <c r="G371" s="8" t="s">
        <v>9</v>
      </c>
    </row>
    <row r="372" spans="1:7" x14ac:dyDescent="0.3">
      <c r="A372" s="13" t="s">
        <v>429</v>
      </c>
      <c r="B372" s="8" t="s">
        <v>430</v>
      </c>
      <c r="C372" s="8">
        <v>4.5999999999999996</v>
      </c>
      <c r="D372" s="11">
        <v>3207</v>
      </c>
      <c r="E372" s="9">
        <v>6</v>
      </c>
      <c r="F372" s="8">
        <v>2011</v>
      </c>
      <c r="G372" s="8" t="s">
        <v>9</v>
      </c>
    </row>
    <row r="373" spans="1:7" x14ac:dyDescent="0.3">
      <c r="A373" s="13" t="s">
        <v>429</v>
      </c>
      <c r="B373" s="8" t="s">
        <v>430</v>
      </c>
      <c r="C373" s="8">
        <v>4.5999999999999996</v>
      </c>
      <c r="D373" s="11">
        <v>3207</v>
      </c>
      <c r="E373" s="9">
        <v>6</v>
      </c>
      <c r="F373" s="8">
        <v>2012</v>
      </c>
      <c r="G373" s="8" t="s">
        <v>9</v>
      </c>
    </row>
    <row r="374" spans="1:7" x14ac:dyDescent="0.3">
      <c r="A374" s="13" t="s">
        <v>429</v>
      </c>
      <c r="B374" s="8" t="s">
        <v>430</v>
      </c>
      <c r="C374" s="8">
        <v>4.5999999999999996</v>
      </c>
      <c r="D374" s="11">
        <v>3207</v>
      </c>
      <c r="E374" s="9">
        <v>6</v>
      </c>
      <c r="F374" s="8">
        <v>2013</v>
      </c>
      <c r="G374" s="8" t="s">
        <v>9</v>
      </c>
    </row>
    <row r="375" spans="1:7" x14ac:dyDescent="0.3">
      <c r="A375" s="13" t="s">
        <v>431</v>
      </c>
      <c r="B375" s="8" t="s">
        <v>385</v>
      </c>
      <c r="C375" s="8">
        <v>4.5999999999999996</v>
      </c>
      <c r="D375" s="11">
        <v>803</v>
      </c>
      <c r="E375" s="9">
        <v>9</v>
      </c>
      <c r="F375" s="8">
        <v>2009</v>
      </c>
      <c r="G375" s="8" t="s">
        <v>9</v>
      </c>
    </row>
    <row r="376" spans="1:7" x14ac:dyDescent="0.3">
      <c r="A376" s="13" t="s">
        <v>432</v>
      </c>
      <c r="B376" s="8" t="s">
        <v>433</v>
      </c>
      <c r="C376" s="8">
        <v>4.7</v>
      </c>
      <c r="D376" s="11">
        <v>23308</v>
      </c>
      <c r="E376" s="9">
        <v>6</v>
      </c>
      <c r="F376" s="8">
        <v>2013</v>
      </c>
      <c r="G376" s="8" t="s">
        <v>9</v>
      </c>
    </row>
    <row r="377" spans="1:7" x14ac:dyDescent="0.3">
      <c r="A377" s="13" t="s">
        <v>432</v>
      </c>
      <c r="B377" s="8" t="s">
        <v>433</v>
      </c>
      <c r="C377" s="8">
        <v>4.7</v>
      </c>
      <c r="D377" s="11">
        <v>23308</v>
      </c>
      <c r="E377" s="9">
        <v>6</v>
      </c>
      <c r="F377" s="8">
        <v>2015</v>
      </c>
      <c r="G377" s="8" t="s">
        <v>9</v>
      </c>
    </row>
    <row r="378" spans="1:7" x14ac:dyDescent="0.3">
      <c r="A378" s="13" t="s">
        <v>432</v>
      </c>
      <c r="B378" s="8" t="s">
        <v>433</v>
      </c>
      <c r="C378" s="8">
        <v>4.7</v>
      </c>
      <c r="D378" s="11">
        <v>23308</v>
      </c>
      <c r="E378" s="9">
        <v>6</v>
      </c>
      <c r="F378" s="8">
        <v>2016</v>
      </c>
      <c r="G378" s="8" t="s">
        <v>9</v>
      </c>
    </row>
    <row r="379" spans="1:7" x14ac:dyDescent="0.3">
      <c r="A379" s="13" t="s">
        <v>432</v>
      </c>
      <c r="B379" s="8" t="s">
        <v>433</v>
      </c>
      <c r="C379" s="8">
        <v>4.7</v>
      </c>
      <c r="D379" s="11">
        <v>23308</v>
      </c>
      <c r="E379" s="9">
        <v>6</v>
      </c>
      <c r="F379" s="8">
        <v>2017</v>
      </c>
      <c r="G379" s="8" t="s">
        <v>9</v>
      </c>
    </row>
    <row r="380" spans="1:7" x14ac:dyDescent="0.3">
      <c r="A380" s="13" t="s">
        <v>432</v>
      </c>
      <c r="B380" s="8" t="s">
        <v>433</v>
      </c>
      <c r="C380" s="8">
        <v>4.7</v>
      </c>
      <c r="D380" s="11">
        <v>23308</v>
      </c>
      <c r="E380" s="9">
        <v>6</v>
      </c>
      <c r="F380" s="8">
        <v>2018</v>
      </c>
      <c r="G380" s="8" t="s">
        <v>9</v>
      </c>
    </row>
    <row r="381" spans="1:7" x14ac:dyDescent="0.3">
      <c r="A381" s="13" t="s">
        <v>432</v>
      </c>
      <c r="B381" s="8" t="s">
        <v>433</v>
      </c>
      <c r="C381" s="8">
        <v>4.7</v>
      </c>
      <c r="D381" s="11">
        <v>23308</v>
      </c>
      <c r="E381" s="9">
        <v>6</v>
      </c>
      <c r="F381" s="8">
        <v>2019</v>
      </c>
      <c r="G381" s="8" t="s">
        <v>9</v>
      </c>
    </row>
    <row r="382" spans="1:7" x14ac:dyDescent="0.3">
      <c r="A382" s="13" t="s">
        <v>434</v>
      </c>
      <c r="B382" s="8" t="s">
        <v>80</v>
      </c>
      <c r="C382" s="8">
        <v>4.8</v>
      </c>
      <c r="D382" s="11">
        <v>5836</v>
      </c>
      <c r="E382" s="9">
        <v>13</v>
      </c>
      <c r="F382" s="8">
        <v>2017</v>
      </c>
      <c r="G382" s="8" t="s">
        <v>12</v>
      </c>
    </row>
    <row r="383" spans="1:7" x14ac:dyDescent="0.3">
      <c r="A383" s="13" t="s">
        <v>435</v>
      </c>
      <c r="B383" s="8" t="s">
        <v>436</v>
      </c>
      <c r="C383" s="8">
        <v>4.0999999999999996</v>
      </c>
      <c r="D383" s="11">
        <v>79446</v>
      </c>
      <c r="E383" s="9">
        <v>18</v>
      </c>
      <c r="F383" s="8">
        <v>2015</v>
      </c>
      <c r="G383" s="8" t="s">
        <v>12</v>
      </c>
    </row>
    <row r="384" spans="1:7" x14ac:dyDescent="0.3">
      <c r="A384" s="13" t="s">
        <v>435</v>
      </c>
      <c r="B384" s="8" t="s">
        <v>436</v>
      </c>
      <c r="C384" s="8">
        <v>4.0999999999999996</v>
      </c>
      <c r="D384" s="11">
        <v>79446</v>
      </c>
      <c r="E384" s="9">
        <v>7</v>
      </c>
      <c r="F384" s="8">
        <v>2016</v>
      </c>
      <c r="G384" s="8" t="s">
        <v>12</v>
      </c>
    </row>
    <row r="385" spans="1:7" x14ac:dyDescent="0.3">
      <c r="A385" s="13" t="s">
        <v>437</v>
      </c>
      <c r="B385" s="8" t="s">
        <v>438</v>
      </c>
      <c r="C385" s="8">
        <v>4.7</v>
      </c>
      <c r="D385" s="11">
        <v>7747</v>
      </c>
      <c r="E385" s="9">
        <v>14</v>
      </c>
      <c r="F385" s="8">
        <v>2010</v>
      </c>
      <c r="G385" s="8" t="s">
        <v>12</v>
      </c>
    </row>
    <row r="386" spans="1:7" x14ac:dyDescent="0.3">
      <c r="A386" s="13" t="s">
        <v>437</v>
      </c>
      <c r="B386" s="8" t="s">
        <v>438</v>
      </c>
      <c r="C386" s="8">
        <v>4.7</v>
      </c>
      <c r="D386" s="11">
        <v>7747</v>
      </c>
      <c r="E386" s="9">
        <v>14</v>
      </c>
      <c r="F386" s="8">
        <v>2011</v>
      </c>
      <c r="G386" s="8" t="s">
        <v>12</v>
      </c>
    </row>
    <row r="387" spans="1:7" x14ac:dyDescent="0.3">
      <c r="A387" s="13" t="s">
        <v>439</v>
      </c>
      <c r="B387" s="8" t="s">
        <v>438</v>
      </c>
      <c r="C387" s="8">
        <v>4.7</v>
      </c>
      <c r="D387" s="11">
        <v>7251</v>
      </c>
      <c r="E387" s="9">
        <v>9</v>
      </c>
      <c r="F387" s="8">
        <v>2010</v>
      </c>
      <c r="G387" s="8" t="s">
        <v>12</v>
      </c>
    </row>
    <row r="388" spans="1:7" x14ac:dyDescent="0.3">
      <c r="A388" s="13" t="s">
        <v>440</v>
      </c>
      <c r="B388" s="8" t="s">
        <v>438</v>
      </c>
      <c r="C388" s="8">
        <v>4.7</v>
      </c>
      <c r="D388" s="11">
        <v>7251</v>
      </c>
      <c r="E388" s="9">
        <v>16</v>
      </c>
      <c r="F388" s="8">
        <v>2009</v>
      </c>
      <c r="G388" s="8" t="s">
        <v>12</v>
      </c>
    </row>
    <row r="389" spans="1:7" x14ac:dyDescent="0.3">
      <c r="A389" s="13" t="s">
        <v>441</v>
      </c>
      <c r="B389" s="8" t="s">
        <v>438</v>
      </c>
      <c r="C389" s="8">
        <v>4.4000000000000004</v>
      </c>
      <c r="D389" s="11">
        <v>10559</v>
      </c>
      <c r="E389" s="9">
        <v>2</v>
      </c>
      <c r="F389" s="8">
        <v>2009</v>
      </c>
      <c r="G389" s="8" t="s">
        <v>12</v>
      </c>
    </row>
    <row r="390" spans="1:7" x14ac:dyDescent="0.3">
      <c r="A390" s="13" t="s">
        <v>441</v>
      </c>
      <c r="B390" s="8" t="s">
        <v>438</v>
      </c>
      <c r="C390" s="8">
        <v>4.4000000000000004</v>
      </c>
      <c r="D390" s="11">
        <v>10559</v>
      </c>
      <c r="E390" s="9">
        <v>2</v>
      </c>
      <c r="F390" s="8">
        <v>2010</v>
      </c>
      <c r="G390" s="8" t="s">
        <v>12</v>
      </c>
    </row>
    <row r="391" spans="1:7" x14ac:dyDescent="0.3">
      <c r="A391" s="13" t="s">
        <v>442</v>
      </c>
      <c r="B391" s="8" t="s">
        <v>443</v>
      </c>
      <c r="C391" s="8">
        <v>4.8</v>
      </c>
      <c r="D391" s="11">
        <v>5249</v>
      </c>
      <c r="E391" s="9">
        <v>5</v>
      </c>
      <c r="F391" s="8">
        <v>2016</v>
      </c>
      <c r="G391" s="8" t="s">
        <v>12</v>
      </c>
    </row>
    <row r="392" spans="1:7" x14ac:dyDescent="0.3">
      <c r="A392" s="13" t="s">
        <v>442</v>
      </c>
      <c r="B392" s="8" t="s">
        <v>443</v>
      </c>
      <c r="C392" s="8">
        <v>4.8</v>
      </c>
      <c r="D392" s="11">
        <v>5249</v>
      </c>
      <c r="E392" s="9">
        <v>5</v>
      </c>
      <c r="F392" s="8">
        <v>2017</v>
      </c>
      <c r="G392" s="8" t="s">
        <v>12</v>
      </c>
    </row>
    <row r="393" spans="1:7" x14ac:dyDescent="0.3">
      <c r="A393" s="13" t="s">
        <v>444</v>
      </c>
      <c r="B393" s="8" t="s">
        <v>445</v>
      </c>
      <c r="C393" s="8">
        <v>3.9</v>
      </c>
      <c r="D393" s="11">
        <v>33844</v>
      </c>
      <c r="E393" s="9">
        <v>20</v>
      </c>
      <c r="F393" s="8">
        <v>2013</v>
      </c>
      <c r="G393" s="8" t="s">
        <v>12</v>
      </c>
    </row>
    <row r="394" spans="1:7" x14ac:dyDescent="0.3">
      <c r="A394" s="13" t="s">
        <v>444</v>
      </c>
      <c r="B394" s="8" t="s">
        <v>445</v>
      </c>
      <c r="C394" s="8">
        <v>3.9</v>
      </c>
      <c r="D394" s="11">
        <v>33844</v>
      </c>
      <c r="E394" s="9">
        <v>20</v>
      </c>
      <c r="F394" s="8">
        <v>2014</v>
      </c>
      <c r="G394" s="8" t="s">
        <v>12</v>
      </c>
    </row>
    <row r="395" spans="1:7" x14ac:dyDescent="0.3">
      <c r="A395" s="13" t="s">
        <v>446</v>
      </c>
      <c r="B395" s="8" t="s">
        <v>447</v>
      </c>
      <c r="C395" s="8">
        <v>4.4000000000000004</v>
      </c>
      <c r="D395" s="11">
        <v>11616</v>
      </c>
      <c r="E395" s="9">
        <v>7</v>
      </c>
      <c r="F395" s="8">
        <v>2012</v>
      </c>
      <c r="G395" s="8" t="s">
        <v>12</v>
      </c>
    </row>
    <row r="396" spans="1:7" x14ac:dyDescent="0.3">
      <c r="A396" s="13" t="s">
        <v>446</v>
      </c>
      <c r="B396" s="8" t="s">
        <v>447</v>
      </c>
      <c r="C396" s="8">
        <v>4.4000000000000004</v>
      </c>
      <c r="D396" s="11">
        <v>11616</v>
      </c>
      <c r="E396" s="9">
        <v>7</v>
      </c>
      <c r="F396" s="8">
        <v>2013</v>
      </c>
      <c r="G396" s="8" t="s">
        <v>12</v>
      </c>
    </row>
    <row r="397" spans="1:7" x14ac:dyDescent="0.3">
      <c r="A397" s="13" t="s">
        <v>446</v>
      </c>
      <c r="B397" s="8" t="s">
        <v>447</v>
      </c>
      <c r="C397" s="8">
        <v>4.4000000000000004</v>
      </c>
      <c r="D397" s="11">
        <v>11616</v>
      </c>
      <c r="E397" s="9">
        <v>7</v>
      </c>
      <c r="F397" s="8">
        <v>2014</v>
      </c>
      <c r="G397" s="8" t="s">
        <v>12</v>
      </c>
    </row>
    <row r="398" spans="1:7" x14ac:dyDescent="0.3">
      <c r="A398" s="13" t="s">
        <v>448</v>
      </c>
      <c r="B398" s="8" t="s">
        <v>377</v>
      </c>
      <c r="C398" s="8">
        <v>4.5</v>
      </c>
      <c r="D398" s="11">
        <v>13609</v>
      </c>
      <c r="E398" s="9">
        <v>14</v>
      </c>
      <c r="F398" s="8">
        <v>2019</v>
      </c>
      <c r="G398" s="8" t="s">
        <v>12</v>
      </c>
    </row>
    <row r="399" spans="1:7" x14ac:dyDescent="0.3">
      <c r="A399" s="13" t="s">
        <v>449</v>
      </c>
      <c r="B399" s="8" t="s">
        <v>450</v>
      </c>
      <c r="C399" s="8">
        <v>4.7</v>
      </c>
      <c r="D399" s="11">
        <v>8587</v>
      </c>
      <c r="E399" s="9">
        <v>10</v>
      </c>
      <c r="F399" s="8">
        <v>2009</v>
      </c>
      <c r="G399" s="8" t="s">
        <v>12</v>
      </c>
    </row>
    <row r="400" spans="1:7" x14ac:dyDescent="0.3">
      <c r="A400" s="13" t="s">
        <v>451</v>
      </c>
      <c r="B400" s="8" t="s">
        <v>452</v>
      </c>
      <c r="C400" s="8">
        <v>4.3</v>
      </c>
      <c r="D400" s="11">
        <v>29442</v>
      </c>
      <c r="E400" s="9">
        <v>7</v>
      </c>
      <c r="F400" s="8">
        <v>2017</v>
      </c>
      <c r="G400" s="8" t="s">
        <v>12</v>
      </c>
    </row>
    <row r="401" spans="1:7" x14ac:dyDescent="0.3">
      <c r="A401" s="13" t="s">
        <v>453</v>
      </c>
      <c r="B401" s="8" t="s">
        <v>454</v>
      </c>
      <c r="C401" s="8">
        <v>4.5999999999999996</v>
      </c>
      <c r="D401" s="11">
        <v>11098</v>
      </c>
      <c r="E401" s="9">
        <v>13</v>
      </c>
      <c r="F401" s="8">
        <v>2012</v>
      </c>
      <c r="G401" s="8" t="s">
        <v>12</v>
      </c>
    </row>
    <row r="402" spans="1:7" x14ac:dyDescent="0.3">
      <c r="A402" s="13" t="s">
        <v>455</v>
      </c>
      <c r="B402" s="8" t="s">
        <v>456</v>
      </c>
      <c r="C402" s="8">
        <v>4.8</v>
      </c>
      <c r="D402" s="11">
        <v>9947</v>
      </c>
      <c r="E402" s="9">
        <v>11</v>
      </c>
      <c r="F402" s="8">
        <v>2018</v>
      </c>
      <c r="G402" s="8" t="s">
        <v>12</v>
      </c>
    </row>
    <row r="403" spans="1:7" x14ac:dyDescent="0.3">
      <c r="A403" s="13" t="s">
        <v>457</v>
      </c>
      <c r="B403" s="8" t="s">
        <v>458</v>
      </c>
      <c r="C403" s="8">
        <v>4.8</v>
      </c>
      <c r="D403" s="11">
        <v>13871</v>
      </c>
      <c r="E403" s="9">
        <v>6</v>
      </c>
      <c r="F403" s="8">
        <v>2009</v>
      </c>
      <c r="G403" s="8" t="s">
        <v>12</v>
      </c>
    </row>
    <row r="404" spans="1:7" x14ac:dyDescent="0.3">
      <c r="A404" s="13" t="s">
        <v>457</v>
      </c>
      <c r="B404" s="8" t="s">
        <v>458</v>
      </c>
      <c r="C404" s="8">
        <v>4.8</v>
      </c>
      <c r="D404" s="11">
        <v>13871</v>
      </c>
      <c r="E404" s="9">
        <v>6</v>
      </c>
      <c r="F404" s="8">
        <v>2010</v>
      </c>
      <c r="G404" s="8" t="s">
        <v>12</v>
      </c>
    </row>
    <row r="405" spans="1:7" x14ac:dyDescent="0.3">
      <c r="A405" s="13" t="s">
        <v>457</v>
      </c>
      <c r="B405" s="8" t="s">
        <v>458</v>
      </c>
      <c r="C405" s="8">
        <v>4.8</v>
      </c>
      <c r="D405" s="11">
        <v>13871</v>
      </c>
      <c r="E405" s="9">
        <v>8</v>
      </c>
      <c r="F405" s="8">
        <v>2011</v>
      </c>
      <c r="G405" s="8" t="s">
        <v>12</v>
      </c>
    </row>
    <row r="406" spans="1:7" x14ac:dyDescent="0.3">
      <c r="A406" s="13" t="s">
        <v>457</v>
      </c>
      <c r="B406" s="8" t="s">
        <v>458</v>
      </c>
      <c r="C406" s="8">
        <v>4.8</v>
      </c>
      <c r="D406" s="11">
        <v>13871</v>
      </c>
      <c r="E406" s="9">
        <v>7</v>
      </c>
      <c r="F406" s="8">
        <v>2011</v>
      </c>
      <c r="G406" s="8" t="s">
        <v>12</v>
      </c>
    </row>
    <row r="407" spans="1:7" x14ac:dyDescent="0.3">
      <c r="A407" s="13" t="s">
        <v>459</v>
      </c>
      <c r="B407" s="8" t="s">
        <v>333</v>
      </c>
      <c r="C407" s="8">
        <v>4.8</v>
      </c>
      <c r="D407" s="11">
        <v>6982</v>
      </c>
      <c r="E407" s="9">
        <v>14</v>
      </c>
      <c r="F407" s="8">
        <v>2013</v>
      </c>
      <c r="G407" s="8" t="s">
        <v>12</v>
      </c>
    </row>
    <row r="408" spans="1:7" x14ac:dyDescent="0.3">
      <c r="A408" s="13" t="s">
        <v>460</v>
      </c>
      <c r="B408" s="8" t="s">
        <v>88</v>
      </c>
      <c r="C408" s="8">
        <v>4.7</v>
      </c>
      <c r="D408" s="11">
        <v>32122</v>
      </c>
      <c r="E408" s="9">
        <v>14</v>
      </c>
      <c r="F408" s="8">
        <v>2010</v>
      </c>
      <c r="G408" s="8" t="s">
        <v>12</v>
      </c>
    </row>
    <row r="409" spans="1:7" x14ac:dyDescent="0.3">
      <c r="A409" s="13" t="s">
        <v>461</v>
      </c>
      <c r="B409" s="8" t="s">
        <v>88</v>
      </c>
      <c r="C409" s="8">
        <v>4.7</v>
      </c>
      <c r="D409" s="11">
        <v>32122</v>
      </c>
      <c r="E409" s="9">
        <v>8</v>
      </c>
      <c r="F409" s="8">
        <v>2011</v>
      </c>
      <c r="G409" s="8" t="s">
        <v>12</v>
      </c>
    </row>
    <row r="410" spans="1:7" x14ac:dyDescent="0.3">
      <c r="A410" s="13" t="s">
        <v>461</v>
      </c>
      <c r="B410" s="8" t="s">
        <v>88</v>
      </c>
      <c r="C410" s="8">
        <v>4.7</v>
      </c>
      <c r="D410" s="11">
        <v>32122</v>
      </c>
      <c r="E410" s="9">
        <v>8</v>
      </c>
      <c r="F410" s="8">
        <v>2012</v>
      </c>
      <c r="G410" s="8" t="s">
        <v>12</v>
      </c>
    </row>
    <row r="411" spans="1:7" x14ac:dyDescent="0.3">
      <c r="A411" s="13" t="s">
        <v>462</v>
      </c>
      <c r="B411" s="8" t="s">
        <v>88</v>
      </c>
      <c r="C411" s="8">
        <v>4.8</v>
      </c>
      <c r="D411" s="11">
        <v>16949</v>
      </c>
      <c r="E411" s="9">
        <v>30</v>
      </c>
      <c r="F411" s="8">
        <v>2011</v>
      </c>
      <c r="G411" s="8" t="s">
        <v>12</v>
      </c>
    </row>
    <row r="412" spans="1:7" x14ac:dyDescent="0.3">
      <c r="A412" s="13" t="s">
        <v>462</v>
      </c>
      <c r="B412" s="8" t="s">
        <v>88</v>
      </c>
      <c r="C412" s="8">
        <v>4.8</v>
      </c>
      <c r="D412" s="11">
        <v>16949</v>
      </c>
      <c r="E412" s="9">
        <v>30</v>
      </c>
      <c r="F412" s="8">
        <v>2012</v>
      </c>
      <c r="G412" s="8" t="s">
        <v>12</v>
      </c>
    </row>
    <row r="413" spans="1:7" x14ac:dyDescent="0.3">
      <c r="A413" s="13" t="s">
        <v>463</v>
      </c>
      <c r="B413" s="8" t="s">
        <v>464</v>
      </c>
      <c r="C413" s="8">
        <v>4.7</v>
      </c>
      <c r="D413" s="11">
        <v>9289</v>
      </c>
      <c r="E413" s="9">
        <v>13</v>
      </c>
      <c r="F413" s="8">
        <v>2010</v>
      </c>
      <c r="G413" s="8" t="s">
        <v>9</v>
      </c>
    </row>
    <row r="414" spans="1:7" x14ac:dyDescent="0.3">
      <c r="A414" s="13" t="s">
        <v>463</v>
      </c>
      <c r="B414" s="8" t="s">
        <v>464</v>
      </c>
      <c r="C414" s="8">
        <v>4.7</v>
      </c>
      <c r="D414" s="11">
        <v>9289</v>
      </c>
      <c r="E414" s="9">
        <v>9</v>
      </c>
      <c r="F414" s="8">
        <v>2011</v>
      </c>
      <c r="G414" s="8" t="s">
        <v>9</v>
      </c>
    </row>
    <row r="415" spans="1:7" x14ac:dyDescent="0.3">
      <c r="A415" s="13" t="s">
        <v>463</v>
      </c>
      <c r="B415" s="8" t="s">
        <v>464</v>
      </c>
      <c r="C415" s="8">
        <v>4.7</v>
      </c>
      <c r="D415" s="11">
        <v>9289</v>
      </c>
      <c r="E415" s="9">
        <v>9</v>
      </c>
      <c r="F415" s="8">
        <v>2012</v>
      </c>
      <c r="G415" s="8" t="s">
        <v>9</v>
      </c>
    </row>
    <row r="416" spans="1:7" x14ac:dyDescent="0.3">
      <c r="A416" s="13" t="s">
        <v>465</v>
      </c>
      <c r="B416" s="8" t="s">
        <v>466</v>
      </c>
      <c r="C416" s="8">
        <v>4.3</v>
      </c>
      <c r="D416" s="11">
        <v>7368</v>
      </c>
      <c r="E416" s="9">
        <v>7</v>
      </c>
      <c r="F416" s="8">
        <v>2017</v>
      </c>
      <c r="G416" s="8" t="s">
        <v>9</v>
      </c>
    </row>
    <row r="417" spans="1:7" x14ac:dyDescent="0.3">
      <c r="A417" s="13" t="s">
        <v>465</v>
      </c>
      <c r="B417" s="8" t="s">
        <v>466</v>
      </c>
      <c r="C417" s="8">
        <v>4.3</v>
      </c>
      <c r="D417" s="11">
        <v>7368</v>
      </c>
      <c r="E417" s="9">
        <v>7</v>
      </c>
      <c r="F417" s="8">
        <v>2018</v>
      </c>
      <c r="G417" s="8" t="s">
        <v>9</v>
      </c>
    </row>
    <row r="418" spans="1:7" x14ac:dyDescent="0.3">
      <c r="A418" s="13" t="s">
        <v>467</v>
      </c>
      <c r="B418" s="8" t="s">
        <v>468</v>
      </c>
      <c r="C418" s="8">
        <v>4.7</v>
      </c>
      <c r="D418" s="11">
        <v>4028</v>
      </c>
      <c r="E418" s="9">
        <v>9</v>
      </c>
      <c r="F418" s="8">
        <v>2009</v>
      </c>
      <c r="G418" s="8" t="s">
        <v>9</v>
      </c>
    </row>
    <row r="419" spans="1:7" x14ac:dyDescent="0.3">
      <c r="A419" s="13" t="s">
        <v>469</v>
      </c>
      <c r="B419" s="8" t="s">
        <v>333</v>
      </c>
      <c r="C419" s="8">
        <v>4.8</v>
      </c>
      <c r="D419" s="11">
        <v>4628</v>
      </c>
      <c r="E419" s="9">
        <v>7</v>
      </c>
      <c r="F419" s="8">
        <v>2009</v>
      </c>
      <c r="G419" s="8" t="s">
        <v>12</v>
      </c>
    </row>
    <row r="420" spans="1:7" x14ac:dyDescent="0.3">
      <c r="A420" s="13" t="s">
        <v>469</v>
      </c>
      <c r="B420" s="8" t="s">
        <v>333</v>
      </c>
      <c r="C420" s="8">
        <v>4.8</v>
      </c>
      <c r="D420" s="11">
        <v>4628</v>
      </c>
      <c r="E420" s="9">
        <v>7</v>
      </c>
      <c r="F420" s="8">
        <v>2010</v>
      </c>
      <c r="G420" s="8" t="s">
        <v>12</v>
      </c>
    </row>
    <row r="421" spans="1:7" x14ac:dyDescent="0.3">
      <c r="A421" s="13" t="s">
        <v>470</v>
      </c>
      <c r="B421" s="8" t="s">
        <v>471</v>
      </c>
      <c r="C421" s="8">
        <v>4.9000000000000004</v>
      </c>
      <c r="D421" s="11">
        <v>5396</v>
      </c>
      <c r="E421" s="9">
        <v>20</v>
      </c>
      <c r="F421" s="8">
        <v>2013</v>
      </c>
      <c r="G421" s="8" t="s">
        <v>12</v>
      </c>
    </row>
    <row r="422" spans="1:7" x14ac:dyDescent="0.3">
      <c r="A422" s="13" t="s">
        <v>472</v>
      </c>
      <c r="B422" s="8" t="s">
        <v>473</v>
      </c>
      <c r="C422" s="8">
        <v>4.4000000000000004</v>
      </c>
      <c r="D422" s="11">
        <v>4247</v>
      </c>
      <c r="E422" s="9">
        <v>13</v>
      </c>
      <c r="F422" s="8">
        <v>2011</v>
      </c>
      <c r="G422" s="8" t="s">
        <v>9</v>
      </c>
    </row>
    <row r="423" spans="1:7" x14ac:dyDescent="0.3">
      <c r="A423" s="13" t="s">
        <v>472</v>
      </c>
      <c r="B423" s="8" t="s">
        <v>473</v>
      </c>
      <c r="C423" s="8">
        <v>4.4000000000000004</v>
      </c>
      <c r="D423" s="11">
        <v>4247</v>
      </c>
      <c r="E423" s="9">
        <v>13</v>
      </c>
      <c r="F423" s="8">
        <v>2012</v>
      </c>
      <c r="G423" s="8" t="s">
        <v>9</v>
      </c>
    </row>
    <row r="424" spans="1:7" x14ac:dyDescent="0.3">
      <c r="A424" s="13" t="s">
        <v>474</v>
      </c>
      <c r="B424" s="8" t="s">
        <v>475</v>
      </c>
      <c r="C424" s="8">
        <v>4.5</v>
      </c>
      <c r="D424" s="11">
        <v>22641</v>
      </c>
      <c r="E424" s="9">
        <v>11</v>
      </c>
      <c r="F424" s="8">
        <v>2015</v>
      </c>
      <c r="G424" s="8" t="s">
        <v>9</v>
      </c>
    </row>
    <row r="425" spans="1:7" x14ac:dyDescent="0.3">
      <c r="A425" s="13" t="s">
        <v>474</v>
      </c>
      <c r="B425" s="8" t="s">
        <v>475</v>
      </c>
      <c r="C425" s="8">
        <v>4.5</v>
      </c>
      <c r="D425" s="11">
        <v>22641</v>
      </c>
      <c r="E425" s="9">
        <v>11</v>
      </c>
      <c r="F425" s="8">
        <v>2016</v>
      </c>
      <c r="G425" s="8" t="s">
        <v>9</v>
      </c>
    </row>
    <row r="426" spans="1:7" x14ac:dyDescent="0.3">
      <c r="A426" s="13" t="s">
        <v>474</v>
      </c>
      <c r="B426" s="8" t="s">
        <v>475</v>
      </c>
      <c r="C426" s="8">
        <v>4.5</v>
      </c>
      <c r="D426" s="11">
        <v>22641</v>
      </c>
      <c r="E426" s="9">
        <v>11</v>
      </c>
      <c r="F426" s="8">
        <v>2017</v>
      </c>
      <c r="G426" s="8" t="s">
        <v>9</v>
      </c>
    </row>
    <row r="427" spans="1:7" x14ac:dyDescent="0.3">
      <c r="A427" s="13" t="s">
        <v>474</v>
      </c>
      <c r="B427" s="8" t="s">
        <v>475</v>
      </c>
      <c r="C427" s="8">
        <v>4.5</v>
      </c>
      <c r="D427" s="11">
        <v>22641</v>
      </c>
      <c r="E427" s="9">
        <v>11</v>
      </c>
      <c r="F427" s="8">
        <v>2019</v>
      </c>
      <c r="G427" s="8" t="s">
        <v>9</v>
      </c>
    </row>
    <row r="428" spans="1:7" x14ac:dyDescent="0.3">
      <c r="A428" s="13" t="s">
        <v>476</v>
      </c>
      <c r="B428" s="8" t="s">
        <v>377</v>
      </c>
      <c r="C428" s="8">
        <v>4.4000000000000004</v>
      </c>
      <c r="D428" s="11">
        <v>6222</v>
      </c>
      <c r="E428" s="9">
        <v>18</v>
      </c>
      <c r="F428" s="8">
        <v>2011</v>
      </c>
      <c r="G428" s="8" t="s">
        <v>12</v>
      </c>
    </row>
    <row r="429" spans="1:7" x14ac:dyDescent="0.3">
      <c r="A429" s="13" t="s">
        <v>477</v>
      </c>
      <c r="B429" s="8" t="s">
        <v>333</v>
      </c>
      <c r="C429" s="8">
        <v>4.8</v>
      </c>
      <c r="D429" s="11">
        <v>4506</v>
      </c>
      <c r="E429" s="9">
        <v>14</v>
      </c>
      <c r="F429" s="8">
        <v>2010</v>
      </c>
      <c r="G429" s="8" t="s">
        <v>12</v>
      </c>
    </row>
    <row r="430" spans="1:7" x14ac:dyDescent="0.3">
      <c r="A430" s="13" t="s">
        <v>478</v>
      </c>
      <c r="B430" s="8" t="s">
        <v>245</v>
      </c>
      <c r="C430" s="8">
        <v>4.2</v>
      </c>
      <c r="D430" s="11">
        <v>8747</v>
      </c>
      <c r="E430" s="9">
        <v>19</v>
      </c>
      <c r="F430" s="8">
        <v>2009</v>
      </c>
      <c r="G430" s="8" t="s">
        <v>12</v>
      </c>
    </row>
    <row r="431" spans="1:7" x14ac:dyDescent="0.3">
      <c r="A431" s="13" t="s">
        <v>479</v>
      </c>
      <c r="B431" s="8" t="s">
        <v>480</v>
      </c>
      <c r="C431" s="8">
        <v>4.8</v>
      </c>
      <c r="D431" s="11">
        <v>1655</v>
      </c>
      <c r="E431" s="9">
        <v>13</v>
      </c>
      <c r="F431" s="8">
        <v>2009</v>
      </c>
      <c r="G431" s="8" t="s">
        <v>9</v>
      </c>
    </row>
    <row r="432" spans="1:7" x14ac:dyDescent="0.3">
      <c r="A432" s="13" t="s">
        <v>481</v>
      </c>
      <c r="B432" s="8" t="s">
        <v>482</v>
      </c>
      <c r="C432" s="8">
        <v>4.9000000000000004</v>
      </c>
      <c r="D432" s="11">
        <v>7861</v>
      </c>
      <c r="E432" s="9">
        <v>5</v>
      </c>
      <c r="F432" s="8">
        <v>2016</v>
      </c>
      <c r="G432" s="8" t="s">
        <v>9</v>
      </c>
    </row>
    <row r="433" spans="1:7" x14ac:dyDescent="0.3">
      <c r="A433" s="13" t="s">
        <v>483</v>
      </c>
      <c r="B433" s="8" t="s">
        <v>333</v>
      </c>
      <c r="C433" s="8">
        <v>4.8</v>
      </c>
      <c r="D433" s="11">
        <v>6247</v>
      </c>
      <c r="E433" s="9">
        <v>10</v>
      </c>
      <c r="F433" s="8">
        <v>2012</v>
      </c>
      <c r="G433" s="8" t="s">
        <v>12</v>
      </c>
    </row>
    <row r="434" spans="1:7" x14ac:dyDescent="0.3">
      <c r="A434" s="13" t="s">
        <v>484</v>
      </c>
      <c r="B434" s="8" t="s">
        <v>485</v>
      </c>
      <c r="C434" s="8">
        <v>4.7</v>
      </c>
      <c r="D434" s="11">
        <v>39459</v>
      </c>
      <c r="E434" s="9">
        <v>9</v>
      </c>
      <c r="F434" s="8">
        <v>2015</v>
      </c>
      <c r="G434" s="8" t="s">
        <v>12</v>
      </c>
    </row>
    <row r="435" spans="1:7" x14ac:dyDescent="0.3">
      <c r="A435" s="13" t="s">
        <v>486</v>
      </c>
      <c r="B435" s="8" t="s">
        <v>487</v>
      </c>
      <c r="C435" s="8">
        <v>4.5</v>
      </c>
      <c r="D435" s="11">
        <v>10101</v>
      </c>
      <c r="E435" s="9">
        <v>8</v>
      </c>
      <c r="F435" s="8">
        <v>2014</v>
      </c>
      <c r="G435" s="8" t="s">
        <v>12</v>
      </c>
    </row>
    <row r="436" spans="1:7" x14ac:dyDescent="0.3">
      <c r="A436" s="13" t="s">
        <v>488</v>
      </c>
      <c r="B436" s="8" t="s">
        <v>80</v>
      </c>
      <c r="C436" s="8">
        <v>4.8</v>
      </c>
      <c r="D436" s="11">
        <v>5898</v>
      </c>
      <c r="E436" s="9">
        <v>8</v>
      </c>
      <c r="F436" s="8">
        <v>2018</v>
      </c>
      <c r="G436" s="8" t="s">
        <v>12</v>
      </c>
    </row>
    <row r="437" spans="1:7" x14ac:dyDescent="0.3">
      <c r="A437" s="13" t="s">
        <v>489</v>
      </c>
      <c r="B437" s="8" t="s">
        <v>490</v>
      </c>
      <c r="C437" s="8">
        <v>4.5999999999999996</v>
      </c>
      <c r="D437" s="11">
        <v>2744</v>
      </c>
      <c r="E437" s="9">
        <v>12</v>
      </c>
      <c r="F437" s="8">
        <v>2019</v>
      </c>
      <c r="G437" s="8" t="s">
        <v>9</v>
      </c>
    </row>
    <row r="438" spans="1:7" x14ac:dyDescent="0.3">
      <c r="A438" s="13" t="s">
        <v>491</v>
      </c>
      <c r="B438" s="8" t="s">
        <v>492</v>
      </c>
      <c r="C438" s="8">
        <v>4.8</v>
      </c>
      <c r="D438" s="11">
        <v>49288</v>
      </c>
      <c r="E438" s="9">
        <v>11</v>
      </c>
      <c r="F438" s="8">
        <v>2015</v>
      </c>
      <c r="G438" s="8" t="s">
        <v>12</v>
      </c>
    </row>
    <row r="439" spans="1:7" x14ac:dyDescent="0.3">
      <c r="A439" s="13" t="s">
        <v>491</v>
      </c>
      <c r="B439" s="8" t="s">
        <v>492</v>
      </c>
      <c r="C439" s="8">
        <v>4.8</v>
      </c>
      <c r="D439" s="11">
        <v>49288</v>
      </c>
      <c r="E439" s="9">
        <v>11</v>
      </c>
      <c r="F439" s="8">
        <v>2016</v>
      </c>
      <c r="G439" s="8" t="s">
        <v>12</v>
      </c>
    </row>
    <row r="440" spans="1:7" x14ac:dyDescent="0.3">
      <c r="A440" s="13" t="s">
        <v>493</v>
      </c>
      <c r="B440" s="8" t="s">
        <v>494</v>
      </c>
      <c r="C440" s="8">
        <v>4.4000000000000004</v>
      </c>
      <c r="D440" s="11">
        <v>1201</v>
      </c>
      <c r="E440" s="9">
        <v>40</v>
      </c>
      <c r="F440" s="8">
        <v>2010</v>
      </c>
      <c r="G440" s="8" t="s">
        <v>9</v>
      </c>
    </row>
    <row r="441" spans="1:7" x14ac:dyDescent="0.3">
      <c r="A441" s="13" t="s">
        <v>493</v>
      </c>
      <c r="B441" s="8" t="s">
        <v>494</v>
      </c>
      <c r="C441" s="8">
        <v>4.4000000000000004</v>
      </c>
      <c r="D441" s="11">
        <v>1201</v>
      </c>
      <c r="E441" s="9">
        <v>40</v>
      </c>
      <c r="F441" s="8">
        <v>2011</v>
      </c>
      <c r="G441" s="8" t="s">
        <v>9</v>
      </c>
    </row>
    <row r="442" spans="1:7" x14ac:dyDescent="0.3">
      <c r="A442" s="13" t="s">
        <v>493</v>
      </c>
      <c r="B442" s="8" t="s">
        <v>494</v>
      </c>
      <c r="C442" s="8">
        <v>4.4000000000000004</v>
      </c>
      <c r="D442" s="11">
        <v>1201</v>
      </c>
      <c r="E442" s="9">
        <v>40</v>
      </c>
      <c r="F442" s="8">
        <v>2012</v>
      </c>
      <c r="G442" s="8" t="s">
        <v>9</v>
      </c>
    </row>
    <row r="443" spans="1:7" x14ac:dyDescent="0.3">
      <c r="A443" s="13" t="s">
        <v>493</v>
      </c>
      <c r="B443" s="8" t="s">
        <v>494</v>
      </c>
      <c r="C443" s="8">
        <v>4.4000000000000004</v>
      </c>
      <c r="D443" s="11">
        <v>1201</v>
      </c>
      <c r="E443" s="9">
        <v>40</v>
      </c>
      <c r="F443" s="8">
        <v>2013</v>
      </c>
      <c r="G443" s="8" t="s">
        <v>9</v>
      </c>
    </row>
    <row r="444" spans="1:7" x14ac:dyDescent="0.3">
      <c r="A444" s="13" t="s">
        <v>493</v>
      </c>
      <c r="B444" s="8" t="s">
        <v>494</v>
      </c>
      <c r="C444" s="8">
        <v>4.4000000000000004</v>
      </c>
      <c r="D444" s="11">
        <v>1201</v>
      </c>
      <c r="E444" s="9">
        <v>40</v>
      </c>
      <c r="F444" s="8">
        <v>2014</v>
      </c>
      <c r="G444" s="8" t="s">
        <v>9</v>
      </c>
    </row>
    <row r="445" spans="1:7" x14ac:dyDescent="0.3">
      <c r="A445" s="13" t="s">
        <v>495</v>
      </c>
      <c r="B445" s="8" t="s">
        <v>494</v>
      </c>
      <c r="C445" s="8">
        <v>4.3</v>
      </c>
      <c r="D445" s="11">
        <v>807</v>
      </c>
      <c r="E445" s="9">
        <v>36</v>
      </c>
      <c r="F445" s="8">
        <v>2016</v>
      </c>
      <c r="G445" s="8" t="s">
        <v>9</v>
      </c>
    </row>
    <row r="446" spans="1:7" x14ac:dyDescent="0.3">
      <c r="A446" s="13" t="s">
        <v>496</v>
      </c>
      <c r="B446" s="8" t="s">
        <v>497</v>
      </c>
      <c r="C446" s="8">
        <v>4.3</v>
      </c>
      <c r="D446" s="11">
        <v>3759</v>
      </c>
      <c r="E446" s="9">
        <v>16</v>
      </c>
      <c r="F446" s="8">
        <v>2011</v>
      </c>
      <c r="G446" s="8" t="s">
        <v>12</v>
      </c>
    </row>
    <row r="447" spans="1:7" x14ac:dyDescent="0.3">
      <c r="A447" s="13" t="s">
        <v>498</v>
      </c>
      <c r="B447" s="8" t="s">
        <v>499</v>
      </c>
      <c r="C447" s="8">
        <v>4.8</v>
      </c>
      <c r="D447" s="11">
        <v>2663</v>
      </c>
      <c r="E447" s="9">
        <v>17</v>
      </c>
      <c r="F447" s="8">
        <v>2013</v>
      </c>
      <c r="G447" s="8" t="s">
        <v>9</v>
      </c>
    </row>
    <row r="448" spans="1:7" x14ac:dyDescent="0.3">
      <c r="A448" s="13" t="s">
        <v>500</v>
      </c>
      <c r="B448" s="8" t="s">
        <v>499</v>
      </c>
      <c r="C448" s="8">
        <v>4.8</v>
      </c>
      <c r="D448" s="11">
        <v>3428</v>
      </c>
      <c r="E448" s="9">
        <v>14</v>
      </c>
      <c r="F448" s="8">
        <v>2015</v>
      </c>
      <c r="G448" s="8" t="s">
        <v>9</v>
      </c>
    </row>
    <row r="449" spans="1:7" x14ac:dyDescent="0.3">
      <c r="A449" s="13" t="s">
        <v>501</v>
      </c>
      <c r="B449" s="8" t="s">
        <v>499</v>
      </c>
      <c r="C449" s="8">
        <v>4.8</v>
      </c>
      <c r="D449" s="11">
        <v>2876</v>
      </c>
      <c r="E449" s="9">
        <v>21</v>
      </c>
      <c r="F449" s="8">
        <v>2012</v>
      </c>
      <c r="G449" s="8" t="s">
        <v>9</v>
      </c>
    </row>
    <row r="450" spans="1:7" x14ac:dyDescent="0.3">
      <c r="A450" s="13" t="s">
        <v>502</v>
      </c>
      <c r="B450" s="8" t="s">
        <v>503</v>
      </c>
      <c r="C450" s="8">
        <v>4.5</v>
      </c>
      <c r="D450" s="11">
        <v>3601</v>
      </c>
      <c r="E450" s="9">
        <v>18</v>
      </c>
      <c r="F450" s="8">
        <v>2018</v>
      </c>
      <c r="G450" s="8" t="s">
        <v>9</v>
      </c>
    </row>
    <row r="451" spans="1:7" x14ac:dyDescent="0.3">
      <c r="A451" s="13" t="s">
        <v>504</v>
      </c>
      <c r="B451" s="8" t="s">
        <v>503</v>
      </c>
      <c r="C451" s="8">
        <v>4.4000000000000004</v>
      </c>
      <c r="D451" s="11">
        <v>7058</v>
      </c>
      <c r="E451" s="9">
        <v>17</v>
      </c>
      <c r="F451" s="8">
        <v>2018</v>
      </c>
      <c r="G451" s="8" t="s">
        <v>9</v>
      </c>
    </row>
    <row r="452" spans="1:7" x14ac:dyDescent="0.3">
      <c r="A452" s="13" t="s">
        <v>505</v>
      </c>
      <c r="B452" s="8" t="s">
        <v>506</v>
      </c>
      <c r="C452" s="8">
        <v>4.8</v>
      </c>
      <c r="D452" s="11">
        <v>9784</v>
      </c>
      <c r="E452" s="9">
        <v>5</v>
      </c>
      <c r="F452" s="8">
        <v>2017</v>
      </c>
      <c r="G452" s="8" t="s">
        <v>12</v>
      </c>
    </row>
    <row r="453" spans="1:7" x14ac:dyDescent="0.3">
      <c r="A453" s="13" t="s">
        <v>505</v>
      </c>
      <c r="B453" s="8" t="s">
        <v>506</v>
      </c>
      <c r="C453" s="8">
        <v>4.8</v>
      </c>
      <c r="D453" s="11">
        <v>9784</v>
      </c>
      <c r="E453" s="9">
        <v>5</v>
      </c>
      <c r="F453" s="8">
        <v>2018</v>
      </c>
      <c r="G453" s="8" t="s">
        <v>12</v>
      </c>
    </row>
    <row r="454" spans="1:7" x14ac:dyDescent="0.3">
      <c r="A454" s="13" t="s">
        <v>507</v>
      </c>
      <c r="B454" s="8" t="s">
        <v>508</v>
      </c>
      <c r="C454" s="8">
        <v>4.5999999999999996</v>
      </c>
      <c r="D454" s="11">
        <v>10795</v>
      </c>
      <c r="E454" s="9">
        <v>21</v>
      </c>
      <c r="F454" s="8">
        <v>2012</v>
      </c>
      <c r="G454" s="8" t="s">
        <v>9</v>
      </c>
    </row>
    <row r="455" spans="1:7" x14ac:dyDescent="0.3">
      <c r="A455" s="13" t="s">
        <v>509</v>
      </c>
      <c r="B455" s="8" t="s">
        <v>237</v>
      </c>
      <c r="C455" s="8">
        <v>4.3</v>
      </c>
      <c r="D455" s="11">
        <v>10191</v>
      </c>
      <c r="E455" s="9">
        <v>18</v>
      </c>
      <c r="F455" s="8">
        <v>2018</v>
      </c>
      <c r="G455" s="8" t="s">
        <v>12</v>
      </c>
    </row>
    <row r="456" spans="1:7" x14ac:dyDescent="0.3">
      <c r="A456" s="13" t="s">
        <v>510</v>
      </c>
      <c r="B456" s="8" t="s">
        <v>377</v>
      </c>
      <c r="C456" s="8">
        <v>4.3</v>
      </c>
      <c r="D456" s="11">
        <v>14493</v>
      </c>
      <c r="E456" s="9">
        <v>18</v>
      </c>
      <c r="F456" s="8">
        <v>2012</v>
      </c>
      <c r="G456" s="8" t="s">
        <v>12</v>
      </c>
    </row>
    <row r="457" spans="1:7" x14ac:dyDescent="0.3">
      <c r="A457" s="13" t="s">
        <v>511</v>
      </c>
      <c r="B457" s="8" t="s">
        <v>333</v>
      </c>
      <c r="C457" s="8">
        <v>4.5999999999999996</v>
      </c>
      <c r="D457" s="11">
        <v>2186</v>
      </c>
      <c r="E457" s="9">
        <v>12</v>
      </c>
      <c r="F457" s="8">
        <v>2010</v>
      </c>
      <c r="G457" s="8" t="s">
        <v>12</v>
      </c>
    </row>
    <row r="458" spans="1:7" x14ac:dyDescent="0.3">
      <c r="A458" s="13" t="s">
        <v>512</v>
      </c>
      <c r="B458" s="8" t="s">
        <v>513</v>
      </c>
      <c r="C458" s="8">
        <v>4.5999999999999996</v>
      </c>
      <c r="D458" s="11">
        <v>1204</v>
      </c>
      <c r="E458" s="9">
        <v>14</v>
      </c>
      <c r="F458" s="8">
        <v>2010</v>
      </c>
      <c r="G458" s="8" t="s">
        <v>9</v>
      </c>
    </row>
    <row r="459" spans="1:7" x14ac:dyDescent="0.3">
      <c r="A459" s="13" t="s">
        <v>514</v>
      </c>
      <c r="B459" s="8" t="s">
        <v>333</v>
      </c>
      <c r="C459" s="8">
        <v>4.8</v>
      </c>
      <c r="D459" s="11">
        <v>2091</v>
      </c>
      <c r="E459" s="9">
        <v>12</v>
      </c>
      <c r="F459" s="8">
        <v>2012</v>
      </c>
      <c r="G459" s="8" t="s">
        <v>12</v>
      </c>
    </row>
    <row r="460" spans="1:7" x14ac:dyDescent="0.3">
      <c r="A460" s="13" t="s">
        <v>515</v>
      </c>
      <c r="B460" s="8" t="s">
        <v>516</v>
      </c>
      <c r="C460" s="8">
        <v>4.5999999999999996</v>
      </c>
      <c r="D460" s="11">
        <v>19720</v>
      </c>
      <c r="E460" s="9">
        <v>8</v>
      </c>
      <c r="F460" s="8">
        <v>2009</v>
      </c>
      <c r="G460" s="8" t="s">
        <v>12</v>
      </c>
    </row>
    <row r="461" spans="1:7" x14ac:dyDescent="0.3">
      <c r="A461" s="13" t="s">
        <v>515</v>
      </c>
      <c r="B461" s="8" t="s">
        <v>516</v>
      </c>
      <c r="C461" s="8">
        <v>4.5999999999999996</v>
      </c>
      <c r="D461" s="11">
        <v>19720</v>
      </c>
      <c r="E461" s="9">
        <v>8</v>
      </c>
      <c r="F461" s="8">
        <v>2017</v>
      </c>
      <c r="G461" s="8" t="s">
        <v>12</v>
      </c>
    </row>
    <row r="462" spans="1:7" x14ac:dyDescent="0.3">
      <c r="A462" s="13" t="s">
        <v>517</v>
      </c>
      <c r="B462" s="8" t="s">
        <v>75</v>
      </c>
      <c r="C462" s="8">
        <v>4.5999999999999996</v>
      </c>
      <c r="D462" s="11">
        <v>2122</v>
      </c>
      <c r="E462" s="9">
        <v>10</v>
      </c>
      <c r="F462" s="8">
        <v>2010</v>
      </c>
      <c r="G462" s="8" t="s">
        <v>12</v>
      </c>
    </row>
    <row r="463" spans="1:7" x14ac:dyDescent="0.3">
      <c r="A463" s="13" t="s">
        <v>518</v>
      </c>
      <c r="B463" s="8" t="s">
        <v>519</v>
      </c>
      <c r="C463" s="8">
        <v>4.5</v>
      </c>
      <c r="D463" s="11">
        <v>27536</v>
      </c>
      <c r="E463" s="9">
        <v>14</v>
      </c>
      <c r="F463" s="8">
        <v>2019</v>
      </c>
      <c r="G463" s="8" t="s">
        <v>12</v>
      </c>
    </row>
    <row r="464" spans="1:7" x14ac:dyDescent="0.3">
      <c r="A464" s="13" t="s">
        <v>520</v>
      </c>
      <c r="B464" s="8" t="s">
        <v>333</v>
      </c>
      <c r="C464" s="8">
        <v>4.8</v>
      </c>
      <c r="D464" s="11">
        <v>4290</v>
      </c>
      <c r="E464" s="9">
        <v>10</v>
      </c>
      <c r="F464" s="8">
        <v>2011</v>
      </c>
      <c r="G464" s="8" t="s">
        <v>12</v>
      </c>
    </row>
    <row r="465" spans="1:7" x14ac:dyDescent="0.3">
      <c r="A465" s="13" t="s">
        <v>521</v>
      </c>
      <c r="B465" s="8" t="s">
        <v>522</v>
      </c>
      <c r="C465" s="8">
        <v>4.5999999999999996</v>
      </c>
      <c r="D465" s="11">
        <v>26490</v>
      </c>
      <c r="E465" s="9">
        <v>15</v>
      </c>
      <c r="F465" s="8">
        <v>2017</v>
      </c>
      <c r="G465" s="8" t="s">
        <v>9</v>
      </c>
    </row>
    <row r="466" spans="1:7" x14ac:dyDescent="0.3">
      <c r="A466" s="13" t="s">
        <v>521</v>
      </c>
      <c r="B466" s="8" t="s">
        <v>522</v>
      </c>
      <c r="C466" s="8">
        <v>4.5999999999999996</v>
      </c>
      <c r="D466" s="11">
        <v>26490</v>
      </c>
      <c r="E466" s="9">
        <v>15</v>
      </c>
      <c r="F466" s="8">
        <v>2018</v>
      </c>
      <c r="G466" s="8" t="s">
        <v>9</v>
      </c>
    </row>
    <row r="467" spans="1:7" x14ac:dyDescent="0.3">
      <c r="A467" s="13" t="s">
        <v>521</v>
      </c>
      <c r="B467" s="8" t="s">
        <v>522</v>
      </c>
      <c r="C467" s="8">
        <v>4.5999999999999996</v>
      </c>
      <c r="D467" s="11">
        <v>26490</v>
      </c>
      <c r="E467" s="9">
        <v>15</v>
      </c>
      <c r="F467" s="8">
        <v>2019</v>
      </c>
      <c r="G467" s="8" t="s">
        <v>9</v>
      </c>
    </row>
    <row r="468" spans="1:7" x14ac:dyDescent="0.3">
      <c r="A468" s="13" t="s">
        <v>523</v>
      </c>
      <c r="B468" s="8" t="s">
        <v>301</v>
      </c>
      <c r="C468" s="8">
        <v>4.7</v>
      </c>
      <c r="D468" s="11">
        <v>5487</v>
      </c>
      <c r="E468" s="9">
        <v>9</v>
      </c>
      <c r="F468" s="8">
        <v>2017</v>
      </c>
      <c r="G468" s="8" t="s">
        <v>9</v>
      </c>
    </row>
    <row r="469" spans="1:7" x14ac:dyDescent="0.3">
      <c r="A469" s="13" t="s">
        <v>524</v>
      </c>
      <c r="B469" s="8" t="s">
        <v>80</v>
      </c>
      <c r="C469" s="8">
        <v>4.7</v>
      </c>
      <c r="D469" s="11">
        <v>6377</v>
      </c>
      <c r="E469" s="9">
        <v>7</v>
      </c>
      <c r="F469" s="8">
        <v>2012</v>
      </c>
      <c r="G469" s="8" t="s">
        <v>12</v>
      </c>
    </row>
    <row r="470" spans="1:7" x14ac:dyDescent="0.3">
      <c r="A470" s="13" t="s">
        <v>525</v>
      </c>
      <c r="B470" s="8" t="s">
        <v>333</v>
      </c>
      <c r="C470" s="8">
        <v>4.7</v>
      </c>
      <c r="D470" s="11">
        <v>1463</v>
      </c>
      <c r="E470" s="9">
        <v>10</v>
      </c>
      <c r="F470" s="8">
        <v>2011</v>
      </c>
      <c r="G470" s="8" t="s">
        <v>12</v>
      </c>
    </row>
    <row r="471" spans="1:7" x14ac:dyDescent="0.3">
      <c r="A471" s="13" t="s">
        <v>526</v>
      </c>
      <c r="B471" s="8" t="s">
        <v>527</v>
      </c>
      <c r="C471" s="8">
        <v>4.4000000000000004</v>
      </c>
      <c r="D471" s="11">
        <v>3759</v>
      </c>
      <c r="E471" s="9">
        <v>6</v>
      </c>
      <c r="F471" s="8">
        <v>2009</v>
      </c>
      <c r="G471" s="8" t="s">
        <v>12</v>
      </c>
    </row>
    <row r="472" spans="1:7" x14ac:dyDescent="0.3">
      <c r="A472" s="13" t="s">
        <v>528</v>
      </c>
      <c r="B472" s="8" t="s">
        <v>103</v>
      </c>
      <c r="C472" s="8">
        <v>4.4000000000000004</v>
      </c>
      <c r="D472" s="11">
        <v>3503</v>
      </c>
      <c r="E472" s="9">
        <v>9</v>
      </c>
      <c r="F472" s="8">
        <v>2009</v>
      </c>
      <c r="G472" s="8" t="s">
        <v>9</v>
      </c>
    </row>
    <row r="473" spans="1:7" x14ac:dyDescent="0.3">
      <c r="A473" s="13" t="s">
        <v>529</v>
      </c>
      <c r="B473" s="8" t="s">
        <v>530</v>
      </c>
      <c r="C473" s="8">
        <v>4.7</v>
      </c>
      <c r="D473" s="11">
        <v>11550</v>
      </c>
      <c r="E473" s="9">
        <v>10</v>
      </c>
      <c r="F473" s="8">
        <v>2019</v>
      </c>
      <c r="G473" s="8" t="s">
        <v>9</v>
      </c>
    </row>
    <row r="474" spans="1:7" x14ac:dyDescent="0.3">
      <c r="A474" s="13" t="s">
        <v>531</v>
      </c>
      <c r="B474" s="8" t="s">
        <v>75</v>
      </c>
      <c r="C474" s="8">
        <v>4.7</v>
      </c>
      <c r="D474" s="11">
        <v>3801</v>
      </c>
      <c r="E474" s="9">
        <v>82</v>
      </c>
      <c r="F474" s="8">
        <v>2009</v>
      </c>
      <c r="G474" s="8" t="s">
        <v>12</v>
      </c>
    </row>
    <row r="475" spans="1:7" x14ac:dyDescent="0.3">
      <c r="A475" s="13" t="s">
        <v>532</v>
      </c>
      <c r="B475" s="8" t="s">
        <v>80</v>
      </c>
      <c r="C475" s="8">
        <v>4.8</v>
      </c>
      <c r="D475" s="11">
        <v>3796</v>
      </c>
      <c r="E475" s="9">
        <v>12</v>
      </c>
      <c r="F475" s="8">
        <v>2010</v>
      </c>
      <c r="G475" s="8" t="s">
        <v>12</v>
      </c>
    </row>
    <row r="476" spans="1:7" x14ac:dyDescent="0.3">
      <c r="A476" s="13" t="s">
        <v>533</v>
      </c>
      <c r="B476" s="8" t="s">
        <v>534</v>
      </c>
      <c r="C476" s="8">
        <v>4.7</v>
      </c>
      <c r="D476" s="11">
        <v>9030</v>
      </c>
      <c r="E476" s="9">
        <v>10</v>
      </c>
      <c r="F476" s="8">
        <v>2019</v>
      </c>
      <c r="G476" s="8" t="s">
        <v>9</v>
      </c>
    </row>
    <row r="477" spans="1:7" x14ac:dyDescent="0.3">
      <c r="A477" s="13" t="s">
        <v>535</v>
      </c>
      <c r="B477" s="8" t="s">
        <v>536</v>
      </c>
      <c r="C477" s="8">
        <v>4.9000000000000004</v>
      </c>
      <c r="D477" s="11">
        <v>19546</v>
      </c>
      <c r="E477" s="9">
        <v>5</v>
      </c>
      <c r="F477" s="8">
        <v>2013</v>
      </c>
      <c r="G477" s="8" t="s">
        <v>12</v>
      </c>
    </row>
    <row r="478" spans="1:7" x14ac:dyDescent="0.3">
      <c r="A478" s="13" t="s">
        <v>535</v>
      </c>
      <c r="B478" s="8" t="s">
        <v>536</v>
      </c>
      <c r="C478" s="8">
        <v>4.9000000000000004</v>
      </c>
      <c r="D478" s="11">
        <v>19546</v>
      </c>
      <c r="E478" s="9">
        <v>5</v>
      </c>
      <c r="F478" s="8">
        <v>2014</v>
      </c>
      <c r="G478" s="8" t="s">
        <v>12</v>
      </c>
    </row>
    <row r="479" spans="1:7" x14ac:dyDescent="0.3">
      <c r="A479" s="13" t="s">
        <v>535</v>
      </c>
      <c r="B479" s="8" t="s">
        <v>536</v>
      </c>
      <c r="C479" s="8">
        <v>4.9000000000000004</v>
      </c>
      <c r="D479" s="11">
        <v>19546</v>
      </c>
      <c r="E479" s="9">
        <v>5</v>
      </c>
      <c r="F479" s="8">
        <v>2015</v>
      </c>
      <c r="G479" s="8" t="s">
        <v>12</v>
      </c>
    </row>
    <row r="480" spans="1:7" x14ac:dyDescent="0.3">
      <c r="A480" s="13" t="s">
        <v>535</v>
      </c>
      <c r="B480" s="8" t="s">
        <v>536</v>
      </c>
      <c r="C480" s="8">
        <v>4.9000000000000004</v>
      </c>
      <c r="D480" s="11">
        <v>19546</v>
      </c>
      <c r="E480" s="9">
        <v>5</v>
      </c>
      <c r="F480" s="8">
        <v>2016</v>
      </c>
      <c r="G480" s="8" t="s">
        <v>12</v>
      </c>
    </row>
    <row r="481" spans="1:7" x14ac:dyDescent="0.3">
      <c r="A481" s="13" t="s">
        <v>535</v>
      </c>
      <c r="B481" s="8" t="s">
        <v>536</v>
      </c>
      <c r="C481" s="8">
        <v>4.9000000000000004</v>
      </c>
      <c r="D481" s="11">
        <v>19546</v>
      </c>
      <c r="E481" s="9">
        <v>5</v>
      </c>
      <c r="F481" s="8">
        <v>2017</v>
      </c>
      <c r="G481" s="8" t="s">
        <v>12</v>
      </c>
    </row>
    <row r="482" spans="1:7" x14ac:dyDescent="0.3">
      <c r="A482" s="13" t="s">
        <v>535</v>
      </c>
      <c r="B482" s="8" t="s">
        <v>536</v>
      </c>
      <c r="C482" s="8">
        <v>4.9000000000000004</v>
      </c>
      <c r="D482" s="11">
        <v>19546</v>
      </c>
      <c r="E482" s="9">
        <v>5</v>
      </c>
      <c r="F482" s="8">
        <v>2018</v>
      </c>
      <c r="G482" s="8" t="s">
        <v>12</v>
      </c>
    </row>
    <row r="483" spans="1:7" x14ac:dyDescent="0.3">
      <c r="A483" s="13" t="s">
        <v>535</v>
      </c>
      <c r="B483" s="8" t="s">
        <v>536</v>
      </c>
      <c r="C483" s="8">
        <v>4.9000000000000004</v>
      </c>
      <c r="D483" s="11">
        <v>19546</v>
      </c>
      <c r="E483" s="9">
        <v>5</v>
      </c>
      <c r="F483" s="8">
        <v>2019</v>
      </c>
      <c r="G483" s="8" t="s">
        <v>12</v>
      </c>
    </row>
    <row r="484" spans="1:7" x14ac:dyDescent="0.3">
      <c r="A484" s="13" t="s">
        <v>537</v>
      </c>
      <c r="B484" s="8" t="s">
        <v>538</v>
      </c>
      <c r="C484" s="8">
        <v>4.5999999999999996</v>
      </c>
      <c r="D484" s="11">
        <v>7508</v>
      </c>
      <c r="E484" s="9">
        <v>16</v>
      </c>
      <c r="F484" s="8">
        <v>2015</v>
      </c>
      <c r="G484" s="8" t="s">
        <v>9</v>
      </c>
    </row>
    <row r="485" spans="1:7" x14ac:dyDescent="0.3">
      <c r="A485" s="13" t="s">
        <v>537</v>
      </c>
      <c r="B485" s="8" t="s">
        <v>538</v>
      </c>
      <c r="C485" s="8">
        <v>4.5999999999999996</v>
      </c>
      <c r="D485" s="11">
        <v>7508</v>
      </c>
      <c r="E485" s="9">
        <v>16</v>
      </c>
      <c r="F485" s="8">
        <v>2016</v>
      </c>
      <c r="G485" s="8" t="s">
        <v>9</v>
      </c>
    </row>
    <row r="486" spans="1:7" x14ac:dyDescent="0.3">
      <c r="A486" s="13" t="s">
        <v>537</v>
      </c>
      <c r="B486" s="8" t="s">
        <v>538</v>
      </c>
      <c r="C486" s="8">
        <v>4.5999999999999996</v>
      </c>
      <c r="D486" s="11">
        <v>7508</v>
      </c>
      <c r="E486" s="9">
        <v>16</v>
      </c>
      <c r="F486" s="8">
        <v>2017</v>
      </c>
      <c r="G486" s="8" t="s">
        <v>9</v>
      </c>
    </row>
    <row r="487" spans="1:7" x14ac:dyDescent="0.3">
      <c r="A487" s="13" t="s">
        <v>539</v>
      </c>
      <c r="B487" s="8" t="s">
        <v>540</v>
      </c>
      <c r="C487" s="8">
        <v>4.9000000000000004</v>
      </c>
      <c r="D487" s="11">
        <v>8842</v>
      </c>
      <c r="E487" s="9">
        <v>10</v>
      </c>
      <c r="F487" s="8">
        <v>2016</v>
      </c>
      <c r="G487" s="8" t="s">
        <v>12</v>
      </c>
    </row>
    <row r="488" spans="1:7" x14ac:dyDescent="0.3">
      <c r="A488" s="13" t="s">
        <v>539</v>
      </c>
      <c r="B488" s="8" t="s">
        <v>540</v>
      </c>
      <c r="C488" s="8">
        <v>4.9000000000000004</v>
      </c>
      <c r="D488" s="11">
        <v>8842</v>
      </c>
      <c r="E488" s="9">
        <v>10</v>
      </c>
      <c r="F488" s="8">
        <v>2017</v>
      </c>
      <c r="G488" s="8" t="s">
        <v>12</v>
      </c>
    </row>
    <row r="489" spans="1:7" x14ac:dyDescent="0.3">
      <c r="A489" s="13" t="s">
        <v>539</v>
      </c>
      <c r="B489" s="8" t="s">
        <v>540</v>
      </c>
      <c r="C489" s="8">
        <v>4.9000000000000004</v>
      </c>
      <c r="D489" s="11">
        <v>8842</v>
      </c>
      <c r="E489" s="9">
        <v>10</v>
      </c>
      <c r="F489" s="8">
        <v>2018</v>
      </c>
      <c r="G489" s="8" t="s">
        <v>12</v>
      </c>
    </row>
    <row r="490" spans="1:7" x14ac:dyDescent="0.3">
      <c r="A490" s="13" t="s">
        <v>539</v>
      </c>
      <c r="B490" s="8" t="s">
        <v>540</v>
      </c>
      <c r="C490" s="8">
        <v>4.9000000000000004</v>
      </c>
      <c r="D490" s="11">
        <v>8842</v>
      </c>
      <c r="E490" s="9">
        <v>10</v>
      </c>
      <c r="F490" s="8">
        <v>2019</v>
      </c>
      <c r="G490" s="8" t="s">
        <v>12</v>
      </c>
    </row>
    <row r="491" spans="1:7" x14ac:dyDescent="0.3">
      <c r="A491" s="13" t="s">
        <v>541</v>
      </c>
      <c r="B491" s="8" t="s">
        <v>542</v>
      </c>
      <c r="C491" s="8">
        <v>4.8</v>
      </c>
      <c r="D491" s="11">
        <v>30183</v>
      </c>
      <c r="E491" s="9">
        <v>4</v>
      </c>
      <c r="F491" s="8">
        <v>2018</v>
      </c>
      <c r="G491" s="8" t="s">
        <v>12</v>
      </c>
    </row>
    <row r="492" spans="1:7" x14ac:dyDescent="0.3">
      <c r="A492" s="13" t="s">
        <v>541</v>
      </c>
      <c r="B492" s="8" t="s">
        <v>542</v>
      </c>
      <c r="C492" s="8">
        <v>4.8</v>
      </c>
      <c r="D492" s="11">
        <v>30183</v>
      </c>
      <c r="E492" s="9">
        <v>4</v>
      </c>
      <c r="F492" s="8">
        <v>2019</v>
      </c>
      <c r="G492" s="8" t="s">
        <v>12</v>
      </c>
    </row>
    <row r="493" spans="1:7" x14ac:dyDescent="0.3">
      <c r="A493" s="13" t="s">
        <v>543</v>
      </c>
      <c r="B493" s="8" t="s">
        <v>544</v>
      </c>
      <c r="C493" s="8">
        <v>4.7</v>
      </c>
      <c r="D493" s="11">
        <v>6169</v>
      </c>
      <c r="E493" s="9">
        <v>16</v>
      </c>
      <c r="F493" s="8">
        <v>2015</v>
      </c>
      <c r="G493" s="8" t="s">
        <v>9</v>
      </c>
    </row>
    <row r="494" spans="1:7" x14ac:dyDescent="0.3">
      <c r="A494" s="13" t="s">
        <v>545</v>
      </c>
      <c r="B494" s="8" t="s">
        <v>546</v>
      </c>
      <c r="C494" s="8">
        <v>4.7</v>
      </c>
      <c r="D494" s="11">
        <v>7034</v>
      </c>
      <c r="E494" s="9">
        <v>15</v>
      </c>
      <c r="F494" s="8">
        <v>2013</v>
      </c>
      <c r="G494" s="8" t="s">
        <v>9</v>
      </c>
    </row>
    <row r="495" spans="1:7" x14ac:dyDescent="0.3">
      <c r="A495" s="13" t="s">
        <v>547</v>
      </c>
      <c r="B495" s="8" t="s">
        <v>548</v>
      </c>
      <c r="C495" s="8">
        <v>4.5999999999999996</v>
      </c>
      <c r="D495" s="11">
        <v>11034</v>
      </c>
      <c r="E495" s="9">
        <v>19</v>
      </c>
      <c r="F495" s="8">
        <v>2011</v>
      </c>
      <c r="G495" s="8" t="s">
        <v>9</v>
      </c>
    </row>
    <row r="496" spans="1:7" x14ac:dyDescent="0.3">
      <c r="A496" s="13" t="s">
        <v>547</v>
      </c>
      <c r="B496" s="8" t="s">
        <v>548</v>
      </c>
      <c r="C496" s="8">
        <v>4.5999999999999996</v>
      </c>
      <c r="D496" s="11">
        <v>11034</v>
      </c>
      <c r="E496" s="9">
        <v>19</v>
      </c>
      <c r="F496" s="8">
        <v>2012</v>
      </c>
      <c r="G496" s="8" t="s">
        <v>9</v>
      </c>
    </row>
    <row r="497" spans="1:7" x14ac:dyDescent="0.3">
      <c r="A497" s="13" t="s">
        <v>549</v>
      </c>
      <c r="B497" s="8" t="s">
        <v>550</v>
      </c>
      <c r="C497" s="8">
        <v>4.5</v>
      </c>
      <c r="D497" s="11">
        <v>7932</v>
      </c>
      <c r="E497" s="9">
        <v>9</v>
      </c>
      <c r="F497" s="8">
        <v>2017</v>
      </c>
      <c r="G497" s="8" t="s">
        <v>12</v>
      </c>
    </row>
    <row r="498" spans="1:7" x14ac:dyDescent="0.3">
      <c r="A498" s="13" t="s">
        <v>551</v>
      </c>
      <c r="B498" s="8" t="s">
        <v>552</v>
      </c>
      <c r="C498" s="8">
        <v>4.5</v>
      </c>
      <c r="D498" s="11">
        <v>1904</v>
      </c>
      <c r="E498" s="9">
        <v>23</v>
      </c>
      <c r="F498" s="8">
        <v>2012</v>
      </c>
      <c r="G498" s="8" t="s">
        <v>9</v>
      </c>
    </row>
    <row r="499" spans="1:7" x14ac:dyDescent="0.3">
      <c r="A499" s="13" t="s">
        <v>553</v>
      </c>
      <c r="B499" s="8" t="s">
        <v>554</v>
      </c>
      <c r="C499" s="8">
        <v>4.3</v>
      </c>
      <c r="D499" s="11">
        <v>3319</v>
      </c>
      <c r="E499" s="9">
        <v>11</v>
      </c>
      <c r="F499" s="8">
        <v>2009</v>
      </c>
      <c r="G499" s="8" t="s">
        <v>9</v>
      </c>
    </row>
    <row r="500" spans="1:7" x14ac:dyDescent="0.3">
      <c r="A500" s="13" t="s">
        <v>553</v>
      </c>
      <c r="B500" s="8" t="s">
        <v>554</v>
      </c>
      <c r="C500" s="8">
        <v>4.3</v>
      </c>
      <c r="D500" s="11">
        <v>3319</v>
      </c>
      <c r="E500" s="9">
        <v>11</v>
      </c>
      <c r="F500" s="8">
        <v>2010</v>
      </c>
      <c r="G500" s="8" t="s">
        <v>9</v>
      </c>
    </row>
    <row r="501" spans="1:7" x14ac:dyDescent="0.3">
      <c r="A501" s="13" t="s">
        <v>555</v>
      </c>
      <c r="B501" s="8" t="s">
        <v>556</v>
      </c>
      <c r="C501" s="8">
        <v>4.5999999999999996</v>
      </c>
      <c r="D501" s="11">
        <v>11128</v>
      </c>
      <c r="E501" s="9">
        <v>23</v>
      </c>
      <c r="F501" s="8">
        <v>2014</v>
      </c>
      <c r="G501" s="8" t="s">
        <v>9</v>
      </c>
    </row>
    <row r="502" spans="1:7" x14ac:dyDescent="0.3">
      <c r="A502" s="13" t="s">
        <v>555</v>
      </c>
      <c r="B502" s="8" t="s">
        <v>556</v>
      </c>
      <c r="C502" s="8">
        <v>4.5999999999999996</v>
      </c>
      <c r="D502" s="11">
        <v>11128</v>
      </c>
      <c r="E502" s="9">
        <v>23</v>
      </c>
      <c r="F502" s="8">
        <v>2015</v>
      </c>
      <c r="G502" s="8" t="s">
        <v>9</v>
      </c>
    </row>
    <row r="503" spans="1:7" x14ac:dyDescent="0.3">
      <c r="A503" s="13" t="s">
        <v>555</v>
      </c>
      <c r="B503" s="8" t="s">
        <v>556</v>
      </c>
      <c r="C503" s="8">
        <v>4.5999999999999996</v>
      </c>
      <c r="D503" s="11">
        <v>11128</v>
      </c>
      <c r="E503" s="9">
        <v>23</v>
      </c>
      <c r="F503" s="8">
        <v>2016</v>
      </c>
      <c r="G503" s="8" t="s">
        <v>9</v>
      </c>
    </row>
    <row r="504" spans="1:7" x14ac:dyDescent="0.3">
      <c r="A504" s="13" t="s">
        <v>555</v>
      </c>
      <c r="B504" s="8" t="s">
        <v>556</v>
      </c>
      <c r="C504" s="8">
        <v>4.5999999999999996</v>
      </c>
      <c r="D504" s="11">
        <v>11128</v>
      </c>
      <c r="E504" s="9">
        <v>23</v>
      </c>
      <c r="F504" s="8">
        <v>2017</v>
      </c>
      <c r="G504" s="8" t="s">
        <v>9</v>
      </c>
    </row>
    <row r="505" spans="1:7" x14ac:dyDescent="0.3">
      <c r="A505" s="13" t="s">
        <v>557</v>
      </c>
      <c r="B505" s="8" t="s">
        <v>558</v>
      </c>
      <c r="C505" s="8">
        <v>4.3</v>
      </c>
      <c r="D505" s="11">
        <v>5977</v>
      </c>
      <c r="E505" s="9">
        <v>12</v>
      </c>
      <c r="F505" s="8">
        <v>2011</v>
      </c>
      <c r="G505" s="8" t="s">
        <v>9</v>
      </c>
    </row>
    <row r="506" spans="1:7" x14ac:dyDescent="0.3">
      <c r="A506" s="13" t="s">
        <v>559</v>
      </c>
      <c r="B506" s="8" t="s">
        <v>184</v>
      </c>
      <c r="C506" s="8">
        <v>4.8</v>
      </c>
      <c r="D506" s="11">
        <v>26234</v>
      </c>
      <c r="E506" s="9">
        <v>7</v>
      </c>
      <c r="F506" s="8">
        <v>2013</v>
      </c>
      <c r="G506" s="8" t="s">
        <v>12</v>
      </c>
    </row>
    <row r="507" spans="1:7" x14ac:dyDescent="0.3">
      <c r="A507" s="13" t="s">
        <v>559</v>
      </c>
      <c r="B507" s="8" t="s">
        <v>184</v>
      </c>
      <c r="C507" s="8">
        <v>4.8</v>
      </c>
      <c r="D507" s="11">
        <v>26234</v>
      </c>
      <c r="E507" s="9">
        <v>7</v>
      </c>
      <c r="F507" s="8">
        <v>2014</v>
      </c>
      <c r="G507" s="8" t="s">
        <v>12</v>
      </c>
    </row>
    <row r="508" spans="1:7" x14ac:dyDescent="0.3">
      <c r="A508" s="13" t="s">
        <v>559</v>
      </c>
      <c r="B508" s="8" t="s">
        <v>184</v>
      </c>
      <c r="C508" s="8">
        <v>4.8</v>
      </c>
      <c r="D508" s="11">
        <v>26234</v>
      </c>
      <c r="E508" s="9">
        <v>7</v>
      </c>
      <c r="F508" s="8">
        <v>2015</v>
      </c>
      <c r="G508" s="8" t="s">
        <v>12</v>
      </c>
    </row>
    <row r="509" spans="1:7" x14ac:dyDescent="0.3">
      <c r="A509" s="13" t="s">
        <v>559</v>
      </c>
      <c r="B509" s="8" t="s">
        <v>184</v>
      </c>
      <c r="C509" s="8">
        <v>4.8</v>
      </c>
      <c r="D509" s="11">
        <v>26234</v>
      </c>
      <c r="E509" s="9">
        <v>7</v>
      </c>
      <c r="F509" s="8">
        <v>2016</v>
      </c>
      <c r="G509" s="8" t="s">
        <v>12</v>
      </c>
    </row>
    <row r="510" spans="1:7" x14ac:dyDescent="0.3">
      <c r="A510" s="13" t="s">
        <v>559</v>
      </c>
      <c r="B510" s="8" t="s">
        <v>184</v>
      </c>
      <c r="C510" s="8">
        <v>4.8</v>
      </c>
      <c r="D510" s="11">
        <v>26234</v>
      </c>
      <c r="E510" s="9">
        <v>7</v>
      </c>
      <c r="F510" s="8">
        <v>2019</v>
      </c>
      <c r="G510" s="8" t="s">
        <v>12</v>
      </c>
    </row>
    <row r="511" spans="1:7" x14ac:dyDescent="0.3">
      <c r="A511" s="13" t="s">
        <v>560</v>
      </c>
      <c r="B511" s="8" t="s">
        <v>383</v>
      </c>
      <c r="C511" s="8">
        <v>4.5999999999999996</v>
      </c>
      <c r="D511" s="11">
        <v>4360</v>
      </c>
      <c r="E511" s="9">
        <v>21</v>
      </c>
      <c r="F511" s="8">
        <v>2017</v>
      </c>
      <c r="G511" s="8" t="s">
        <v>9</v>
      </c>
    </row>
    <row r="512" spans="1:7" x14ac:dyDescent="0.3">
      <c r="A512" s="13" t="s">
        <v>561</v>
      </c>
      <c r="B512" s="8" t="s">
        <v>562</v>
      </c>
      <c r="C512" s="8">
        <v>4.8</v>
      </c>
      <c r="D512" s="11">
        <v>2282</v>
      </c>
      <c r="E512" s="9">
        <v>21</v>
      </c>
      <c r="F512" s="8">
        <v>2010</v>
      </c>
      <c r="G512" s="8" t="s">
        <v>12</v>
      </c>
    </row>
    <row r="513" spans="1:7" x14ac:dyDescent="0.3">
      <c r="A513" s="13" t="s">
        <v>563</v>
      </c>
      <c r="B513" s="8" t="s">
        <v>564</v>
      </c>
      <c r="C513" s="8">
        <v>4.5</v>
      </c>
      <c r="D513" s="11">
        <v>438</v>
      </c>
      <c r="E513" s="9">
        <v>15</v>
      </c>
      <c r="F513" s="8">
        <v>2009</v>
      </c>
      <c r="G513" s="8" t="s">
        <v>9</v>
      </c>
    </row>
    <row r="514" spans="1:7" x14ac:dyDescent="0.3">
      <c r="A514" s="13" t="s">
        <v>565</v>
      </c>
      <c r="B514" s="8" t="s">
        <v>75</v>
      </c>
      <c r="C514" s="8">
        <v>4.7</v>
      </c>
      <c r="D514" s="11">
        <v>11676</v>
      </c>
      <c r="E514" s="9">
        <v>9</v>
      </c>
      <c r="F514" s="8">
        <v>2009</v>
      </c>
      <c r="G514" s="8" t="s">
        <v>12</v>
      </c>
    </row>
    <row r="515" spans="1:7" x14ac:dyDescent="0.3">
      <c r="A515" s="13" t="s">
        <v>566</v>
      </c>
      <c r="B515" s="8" t="s">
        <v>60</v>
      </c>
      <c r="C515" s="8">
        <v>4.5</v>
      </c>
      <c r="D515" s="11">
        <v>2586</v>
      </c>
      <c r="E515" s="9">
        <v>5</v>
      </c>
      <c r="F515" s="8">
        <v>2014</v>
      </c>
      <c r="G515" s="8" t="s">
        <v>12</v>
      </c>
    </row>
    <row r="516" spans="1:7" x14ac:dyDescent="0.3">
      <c r="A516" s="13" t="s">
        <v>567</v>
      </c>
      <c r="B516" s="8" t="s">
        <v>568</v>
      </c>
      <c r="C516" s="8">
        <v>4.8</v>
      </c>
      <c r="D516" s="11">
        <v>29673</v>
      </c>
      <c r="E516" s="9">
        <v>16</v>
      </c>
      <c r="F516" s="8">
        <v>2010</v>
      </c>
      <c r="G516" s="8" t="s">
        <v>9</v>
      </c>
    </row>
    <row r="517" spans="1:7" x14ac:dyDescent="0.3">
      <c r="A517" s="13" t="s">
        <v>567</v>
      </c>
      <c r="B517" s="8" t="s">
        <v>568</v>
      </c>
      <c r="C517" s="8">
        <v>4.8</v>
      </c>
      <c r="D517" s="11">
        <v>29673</v>
      </c>
      <c r="E517" s="9">
        <v>16</v>
      </c>
      <c r="F517" s="8">
        <v>2011</v>
      </c>
      <c r="G517" s="8" t="s">
        <v>9</v>
      </c>
    </row>
    <row r="518" spans="1:7" x14ac:dyDescent="0.3">
      <c r="A518" s="13" t="s">
        <v>567</v>
      </c>
      <c r="B518" s="8" t="s">
        <v>568</v>
      </c>
      <c r="C518" s="8">
        <v>4.8</v>
      </c>
      <c r="D518" s="11">
        <v>29673</v>
      </c>
      <c r="E518" s="9">
        <v>16</v>
      </c>
      <c r="F518" s="8">
        <v>2012</v>
      </c>
      <c r="G518" s="8" t="s">
        <v>9</v>
      </c>
    </row>
    <row r="519" spans="1:7" x14ac:dyDescent="0.3">
      <c r="A519" s="13" t="s">
        <v>567</v>
      </c>
      <c r="B519" s="8" t="s">
        <v>568</v>
      </c>
      <c r="C519" s="8">
        <v>4.8</v>
      </c>
      <c r="D519" s="11">
        <v>29673</v>
      </c>
      <c r="E519" s="9">
        <v>14</v>
      </c>
      <c r="F519" s="8">
        <v>2014</v>
      </c>
      <c r="G519" s="8" t="s">
        <v>9</v>
      </c>
    </row>
    <row r="520" spans="1:7" x14ac:dyDescent="0.3">
      <c r="A520" s="13" t="s">
        <v>569</v>
      </c>
      <c r="B520" s="8" t="s">
        <v>11</v>
      </c>
      <c r="C520" s="8">
        <v>4.3</v>
      </c>
      <c r="D520" s="11">
        <v>6740</v>
      </c>
      <c r="E520" s="9">
        <v>20</v>
      </c>
      <c r="F520" s="8">
        <v>2009</v>
      </c>
      <c r="G520" s="8" t="s">
        <v>12</v>
      </c>
    </row>
    <row r="521" spans="1:7" x14ac:dyDescent="0.3">
      <c r="A521" s="13" t="s">
        <v>570</v>
      </c>
      <c r="B521" s="8" t="s">
        <v>279</v>
      </c>
      <c r="C521" s="8">
        <v>4.9000000000000004</v>
      </c>
      <c r="D521" s="11">
        <v>5956</v>
      </c>
      <c r="E521" s="9">
        <v>11</v>
      </c>
      <c r="F521" s="8">
        <v>2019</v>
      </c>
      <c r="G521" s="8" t="s">
        <v>9</v>
      </c>
    </row>
    <row r="522" spans="1:7" x14ac:dyDescent="0.3">
      <c r="A522" s="13" t="s">
        <v>571</v>
      </c>
      <c r="B522" s="8" t="s">
        <v>572</v>
      </c>
      <c r="C522" s="8">
        <v>4.8</v>
      </c>
      <c r="D522" s="11">
        <v>6108</v>
      </c>
      <c r="E522" s="9">
        <v>4</v>
      </c>
      <c r="F522" s="8">
        <v>2019</v>
      </c>
      <c r="G522" s="8" t="s">
        <v>9</v>
      </c>
    </row>
    <row r="523" spans="1:7" x14ac:dyDescent="0.3">
      <c r="A523" s="13" t="s">
        <v>573</v>
      </c>
      <c r="B523" s="8" t="s">
        <v>251</v>
      </c>
      <c r="C523" s="8">
        <v>4.7</v>
      </c>
      <c r="D523" s="11">
        <v>4585</v>
      </c>
      <c r="E523" s="9">
        <v>9</v>
      </c>
      <c r="F523" s="8">
        <v>2016</v>
      </c>
      <c r="G523" s="8" t="s">
        <v>9</v>
      </c>
    </row>
    <row r="524" spans="1:7" x14ac:dyDescent="0.3">
      <c r="A524" s="13" t="s">
        <v>574</v>
      </c>
      <c r="B524" s="8" t="s">
        <v>575</v>
      </c>
      <c r="C524" s="8">
        <v>4.8</v>
      </c>
      <c r="D524" s="11">
        <v>3829</v>
      </c>
      <c r="E524" s="9">
        <v>42</v>
      </c>
      <c r="F524" s="8">
        <v>2009</v>
      </c>
      <c r="G524" s="8" t="s">
        <v>12</v>
      </c>
    </row>
    <row r="525" spans="1:7" x14ac:dyDescent="0.3">
      <c r="A525" s="13" t="s">
        <v>576</v>
      </c>
      <c r="B525" s="8" t="s">
        <v>577</v>
      </c>
      <c r="C525" s="8">
        <v>4.5</v>
      </c>
      <c r="D525" s="11">
        <v>8958</v>
      </c>
      <c r="E525" s="9">
        <v>12</v>
      </c>
      <c r="F525" s="8">
        <v>2011</v>
      </c>
      <c r="G525" s="8" t="s">
        <v>12</v>
      </c>
    </row>
    <row r="526" spans="1:7" x14ac:dyDescent="0.3">
      <c r="A526" s="13" t="s">
        <v>578</v>
      </c>
      <c r="B526" s="8" t="s">
        <v>579</v>
      </c>
      <c r="C526" s="8">
        <v>4.5999999999999996</v>
      </c>
      <c r="D526" s="11">
        <v>5492</v>
      </c>
      <c r="E526" s="9">
        <v>18</v>
      </c>
      <c r="F526" s="8">
        <v>2017</v>
      </c>
      <c r="G526" s="8" t="s">
        <v>9</v>
      </c>
    </row>
    <row r="527" spans="1:7" x14ac:dyDescent="0.3">
      <c r="A527" s="13" t="s">
        <v>580</v>
      </c>
      <c r="B527" s="8" t="s">
        <v>581</v>
      </c>
      <c r="C527" s="8">
        <v>4.7</v>
      </c>
      <c r="D527" s="11">
        <v>9292</v>
      </c>
      <c r="E527" s="9">
        <v>17</v>
      </c>
      <c r="F527" s="8">
        <v>2014</v>
      </c>
      <c r="G527" s="8" t="s">
        <v>9</v>
      </c>
    </row>
    <row r="528" spans="1:7" x14ac:dyDescent="0.3">
      <c r="A528" s="13" t="s">
        <v>582</v>
      </c>
      <c r="B528" s="8" t="s">
        <v>319</v>
      </c>
      <c r="C528" s="8">
        <v>4.7</v>
      </c>
      <c r="D528" s="11">
        <v>1873</v>
      </c>
      <c r="E528" s="9">
        <v>14</v>
      </c>
      <c r="F528" s="8">
        <v>2015</v>
      </c>
      <c r="G528" s="8" t="s">
        <v>12</v>
      </c>
    </row>
    <row r="529" spans="1:7" x14ac:dyDescent="0.3">
      <c r="A529" s="13" t="s">
        <v>583</v>
      </c>
      <c r="B529" s="8" t="s">
        <v>584</v>
      </c>
      <c r="C529" s="8">
        <v>4.8</v>
      </c>
      <c r="D529" s="11">
        <v>8170</v>
      </c>
      <c r="E529" s="9">
        <v>13</v>
      </c>
      <c r="F529" s="8">
        <v>2019</v>
      </c>
      <c r="G529" s="8" t="s">
        <v>12</v>
      </c>
    </row>
    <row r="530" spans="1:7" x14ac:dyDescent="0.3">
      <c r="A530" s="13" t="s">
        <v>585</v>
      </c>
      <c r="B530" s="8" t="s">
        <v>586</v>
      </c>
      <c r="C530" s="8">
        <v>4.4000000000000004</v>
      </c>
      <c r="D530" s="11">
        <v>3341</v>
      </c>
      <c r="E530" s="9">
        <v>9</v>
      </c>
      <c r="F530" s="8">
        <v>2011</v>
      </c>
      <c r="G530" s="8" t="s">
        <v>9</v>
      </c>
    </row>
    <row r="531" spans="1:7" x14ac:dyDescent="0.3">
      <c r="A531" s="13" t="s">
        <v>587</v>
      </c>
      <c r="B531" s="8" t="s">
        <v>588</v>
      </c>
      <c r="C531" s="8">
        <v>4.4000000000000004</v>
      </c>
      <c r="D531" s="11">
        <v>7497</v>
      </c>
      <c r="E531" s="9">
        <v>6</v>
      </c>
      <c r="F531" s="8">
        <v>2012</v>
      </c>
      <c r="G531" s="8" t="s">
        <v>9</v>
      </c>
    </row>
    <row r="532" spans="1:7" x14ac:dyDescent="0.3">
      <c r="A532" s="13" t="s">
        <v>587</v>
      </c>
      <c r="B532" s="8" t="s">
        <v>588</v>
      </c>
      <c r="C532" s="8">
        <v>4.4000000000000004</v>
      </c>
      <c r="D532" s="11">
        <v>7497</v>
      </c>
      <c r="E532" s="9">
        <v>6</v>
      </c>
      <c r="F532" s="8">
        <v>2013</v>
      </c>
      <c r="G532" s="8" t="s">
        <v>9</v>
      </c>
    </row>
    <row r="533" spans="1:7" x14ac:dyDescent="0.3">
      <c r="A533" s="13" t="s">
        <v>589</v>
      </c>
      <c r="B533" s="8" t="s">
        <v>590</v>
      </c>
      <c r="C533" s="8">
        <v>4.8</v>
      </c>
      <c r="D533" s="11">
        <v>13779</v>
      </c>
      <c r="E533" s="9">
        <v>14</v>
      </c>
      <c r="F533" s="8">
        <v>2016</v>
      </c>
      <c r="G533" s="8" t="s">
        <v>9</v>
      </c>
    </row>
    <row r="534" spans="1:7" x14ac:dyDescent="0.3">
      <c r="A534" s="13" t="s">
        <v>591</v>
      </c>
      <c r="B534" s="8" t="s">
        <v>592</v>
      </c>
      <c r="C534" s="8">
        <v>4.8</v>
      </c>
      <c r="D534" s="11">
        <v>87841</v>
      </c>
      <c r="E534" s="9">
        <v>15</v>
      </c>
      <c r="F534" s="8">
        <v>2019</v>
      </c>
      <c r="G534" s="8" t="s">
        <v>12</v>
      </c>
    </row>
    <row r="535" spans="1:7" x14ac:dyDescent="0.3">
      <c r="A535" s="13" t="s">
        <v>593</v>
      </c>
      <c r="B535" s="8" t="s">
        <v>594</v>
      </c>
      <c r="C535" s="8">
        <v>4.8</v>
      </c>
      <c r="D535" s="11">
        <v>9967</v>
      </c>
      <c r="E535" s="9">
        <v>13</v>
      </c>
      <c r="F535" s="8">
        <v>2009</v>
      </c>
      <c r="G535" s="8" t="s">
        <v>12</v>
      </c>
    </row>
    <row r="536" spans="1:7" x14ac:dyDescent="0.3">
      <c r="A536" s="13" t="s">
        <v>595</v>
      </c>
      <c r="B536" s="8" t="s">
        <v>596</v>
      </c>
      <c r="C536" s="8">
        <v>4.5999999999999996</v>
      </c>
      <c r="D536" s="11">
        <v>6669</v>
      </c>
      <c r="E536" s="9">
        <v>12</v>
      </c>
      <c r="F536" s="8">
        <v>2018</v>
      </c>
      <c r="G536" s="8" t="s">
        <v>9</v>
      </c>
    </row>
    <row r="537" spans="1:7" x14ac:dyDescent="0.3">
      <c r="A537" s="13" t="s">
        <v>597</v>
      </c>
      <c r="B537" s="8" t="s">
        <v>598</v>
      </c>
      <c r="C537" s="8">
        <v>4.4000000000000004</v>
      </c>
      <c r="D537" s="11">
        <v>17044</v>
      </c>
      <c r="E537" s="9">
        <v>18</v>
      </c>
      <c r="F537" s="8">
        <v>2012</v>
      </c>
      <c r="G537" s="8" t="s">
        <v>9</v>
      </c>
    </row>
    <row r="538" spans="1:7" x14ac:dyDescent="0.3">
      <c r="A538" s="13" t="s">
        <v>599</v>
      </c>
      <c r="B538" s="8" t="s">
        <v>600</v>
      </c>
      <c r="C538" s="8">
        <v>4.5</v>
      </c>
      <c r="D538" s="11">
        <v>10760</v>
      </c>
      <c r="E538" s="9">
        <v>15</v>
      </c>
      <c r="F538" s="8">
        <v>2012</v>
      </c>
      <c r="G538" s="8" t="s">
        <v>12</v>
      </c>
    </row>
    <row r="539" spans="1:7" x14ac:dyDescent="0.3">
      <c r="A539" s="13" t="s">
        <v>601</v>
      </c>
      <c r="B539" s="8" t="s">
        <v>602</v>
      </c>
      <c r="C539" s="8">
        <v>4.2</v>
      </c>
      <c r="D539" s="11">
        <v>1302</v>
      </c>
      <c r="E539" s="9">
        <v>11</v>
      </c>
      <c r="F539" s="8">
        <v>2010</v>
      </c>
      <c r="G539" s="8" t="s">
        <v>9</v>
      </c>
    </row>
    <row r="540" spans="1:7" x14ac:dyDescent="0.3">
      <c r="A540" s="13" t="s">
        <v>603</v>
      </c>
      <c r="B540" s="8" t="s">
        <v>604</v>
      </c>
      <c r="C540" s="8">
        <v>4.8</v>
      </c>
      <c r="D540" s="11">
        <v>21625</v>
      </c>
      <c r="E540" s="9">
        <v>9</v>
      </c>
      <c r="F540" s="8">
        <v>2013</v>
      </c>
      <c r="G540" s="8" t="s">
        <v>12</v>
      </c>
    </row>
    <row r="541" spans="1:7" x14ac:dyDescent="0.3">
      <c r="A541" s="13" t="s">
        <v>603</v>
      </c>
      <c r="B541" s="8" t="s">
        <v>604</v>
      </c>
      <c r="C541" s="8">
        <v>4.8</v>
      </c>
      <c r="D541" s="11">
        <v>21625</v>
      </c>
      <c r="E541" s="9">
        <v>9</v>
      </c>
      <c r="F541" s="8">
        <v>2014</v>
      </c>
      <c r="G541" s="8" t="s">
        <v>12</v>
      </c>
    </row>
    <row r="542" spans="1:7" x14ac:dyDescent="0.3">
      <c r="A542" s="13" t="s">
        <v>603</v>
      </c>
      <c r="B542" s="8" t="s">
        <v>604</v>
      </c>
      <c r="C542" s="8">
        <v>4.8</v>
      </c>
      <c r="D542" s="11">
        <v>21625</v>
      </c>
      <c r="E542" s="9">
        <v>9</v>
      </c>
      <c r="F542" s="8">
        <v>2015</v>
      </c>
      <c r="G542" s="8" t="s">
        <v>12</v>
      </c>
    </row>
    <row r="543" spans="1:7" x14ac:dyDescent="0.3">
      <c r="A543" s="13" t="s">
        <v>603</v>
      </c>
      <c r="B543" s="8" t="s">
        <v>604</v>
      </c>
      <c r="C543" s="8">
        <v>4.8</v>
      </c>
      <c r="D543" s="11">
        <v>21625</v>
      </c>
      <c r="E543" s="9">
        <v>9</v>
      </c>
      <c r="F543" s="8">
        <v>2016</v>
      </c>
      <c r="G543" s="8" t="s">
        <v>12</v>
      </c>
    </row>
    <row r="544" spans="1:7" x14ac:dyDescent="0.3">
      <c r="A544" s="13" t="s">
        <v>603</v>
      </c>
      <c r="B544" s="8" t="s">
        <v>604</v>
      </c>
      <c r="C544" s="8">
        <v>4.8</v>
      </c>
      <c r="D544" s="11">
        <v>21625</v>
      </c>
      <c r="E544" s="9">
        <v>9</v>
      </c>
      <c r="F544" s="8">
        <v>2017</v>
      </c>
      <c r="G544" s="8" t="s">
        <v>12</v>
      </c>
    </row>
    <row r="545" spans="1:7" x14ac:dyDescent="0.3">
      <c r="A545" s="13" t="s">
        <v>605</v>
      </c>
      <c r="B545" s="8" t="s">
        <v>80</v>
      </c>
      <c r="C545" s="8">
        <v>4.9000000000000004</v>
      </c>
      <c r="D545" s="11">
        <v>9413</v>
      </c>
      <c r="E545" s="9">
        <v>8</v>
      </c>
      <c r="F545" s="8">
        <v>2019</v>
      </c>
      <c r="G545" s="8" t="s">
        <v>12</v>
      </c>
    </row>
    <row r="546" spans="1:7" x14ac:dyDescent="0.3">
      <c r="A546" s="13" t="s">
        <v>606</v>
      </c>
      <c r="B546" s="8" t="s">
        <v>607</v>
      </c>
      <c r="C546" s="8">
        <v>4.7</v>
      </c>
      <c r="D546" s="11">
        <v>14331</v>
      </c>
      <c r="E546" s="9">
        <v>8</v>
      </c>
      <c r="F546" s="8">
        <v>2016</v>
      </c>
      <c r="G546" s="8" t="s">
        <v>9</v>
      </c>
    </row>
    <row r="547" spans="1:7" x14ac:dyDescent="0.3">
      <c r="A547" s="13" t="s">
        <v>606</v>
      </c>
      <c r="B547" s="8" t="s">
        <v>607</v>
      </c>
      <c r="C547" s="8">
        <v>4.7</v>
      </c>
      <c r="D547" s="11">
        <v>14331</v>
      </c>
      <c r="E547" s="9">
        <v>8</v>
      </c>
      <c r="F547" s="8">
        <v>2017</v>
      </c>
      <c r="G547" s="8" t="s">
        <v>9</v>
      </c>
    </row>
    <row r="548" spans="1:7" x14ac:dyDescent="0.3">
      <c r="A548" s="13" t="s">
        <v>606</v>
      </c>
      <c r="B548" s="8" t="s">
        <v>607</v>
      </c>
      <c r="C548" s="8">
        <v>4.7</v>
      </c>
      <c r="D548" s="11">
        <v>14331</v>
      </c>
      <c r="E548" s="9">
        <v>8</v>
      </c>
      <c r="F548" s="8">
        <v>2018</v>
      </c>
      <c r="G548" s="8" t="s">
        <v>9</v>
      </c>
    </row>
    <row r="549" spans="1:7" x14ac:dyDescent="0.3">
      <c r="A549" s="13" t="s">
        <v>606</v>
      </c>
      <c r="B549" s="8" t="s">
        <v>607</v>
      </c>
      <c r="C549" s="8">
        <v>4.7</v>
      </c>
      <c r="D549" s="11">
        <v>14331</v>
      </c>
      <c r="E549" s="9">
        <v>8</v>
      </c>
      <c r="F549" s="8">
        <v>2019</v>
      </c>
      <c r="G549" s="8" t="s">
        <v>9</v>
      </c>
    </row>
  </sheetData>
  <conditionalFormatting sqref="C1 C550:C1048576">
    <cfRule type="cellIs" dxfId="6" priority="6" operator="equal">
      <formula>4.9</formula>
    </cfRule>
  </conditionalFormatting>
  <conditionalFormatting sqref="D1:D1048576">
    <cfRule type="cellIs" dxfId="5" priority="3" operator="equal">
      <formula>"88 K"</formula>
    </cfRule>
    <cfRule type="cellIs" dxfId="4" priority="4" operator="equal">
      <formula>88</formula>
    </cfRule>
    <cfRule type="cellIs" dxfId="3" priority="5" operator="equal">
      <formula>"88 k"</formula>
    </cfRule>
  </conditionalFormatting>
  <conditionalFormatting sqref="E1 E550:E1048576">
    <cfRule type="cellIs" dxfId="2" priority="7" operator="equal">
      <formula>1</formula>
    </cfRule>
  </conditionalFormatting>
  <conditionalFormatting sqref="F550:F1048576 A1 F1 A550:A1048576">
    <cfRule type="duplicateValues" dxfId="1" priority="11"/>
    <cfRule type="duplicateValues" dxfId="0" priority="1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3572-3562-4BA0-9ABB-2BD58F20CE80}">
  <sheetPr>
    <tabColor theme="6" tint="-0.499984740745262"/>
  </sheetPr>
  <dimension ref="A1:X31"/>
  <sheetViews>
    <sheetView showGridLines="0" topLeftCell="A4" zoomScaleNormal="100" workbookViewId="0">
      <selection activeCell="I30" sqref="I30:K31"/>
    </sheetView>
  </sheetViews>
  <sheetFormatPr defaultRowHeight="14.4" x14ac:dyDescent="0.3"/>
  <cols>
    <col min="1" max="1" width="9.6640625" style="1" bestFit="1" customWidth="1"/>
    <col min="2" max="2" width="36.33203125" style="1" customWidth="1"/>
    <col min="3" max="4" width="10.109375" style="1" customWidth="1"/>
    <col min="5" max="7" width="8.88671875" style="1"/>
    <col min="8" max="8" width="5.44140625" style="1" customWidth="1"/>
    <col min="9" max="9" width="7.44140625" style="1" customWidth="1"/>
    <col min="10" max="10" width="23.21875" style="1" customWidth="1"/>
    <col min="11" max="11" width="26" style="1" customWidth="1"/>
    <col min="12" max="18" width="8.88671875" style="1"/>
    <col min="19" max="19" width="8.77734375" style="1" customWidth="1"/>
    <col min="20" max="20" width="46.109375" style="1" customWidth="1"/>
    <col min="21" max="22" width="10.77734375" style="1" customWidth="1"/>
    <col min="23" max="16384" width="8.88671875" style="1"/>
  </cols>
  <sheetData>
    <row r="1" spans="1:24" ht="15" customHeight="1" thickTop="1" x14ac:dyDescent="0.3">
      <c r="A1" s="60" t="s">
        <v>612</v>
      </c>
      <c r="B1" s="61"/>
      <c r="C1" s="61"/>
      <c r="D1" s="61"/>
      <c r="E1" s="61"/>
      <c r="F1" s="61"/>
      <c r="G1" s="61"/>
      <c r="H1" s="61"/>
      <c r="I1" s="61"/>
      <c r="J1" s="61"/>
      <c r="K1" s="61"/>
      <c r="L1" s="61"/>
      <c r="M1" s="61"/>
      <c r="N1" s="61"/>
      <c r="O1" s="61"/>
      <c r="P1" s="61"/>
      <c r="Q1" s="61"/>
      <c r="R1" s="61"/>
      <c r="S1" s="61"/>
      <c r="T1" s="61"/>
      <c r="U1" s="61"/>
      <c r="V1" s="61"/>
      <c r="W1" s="61"/>
      <c r="X1" s="62"/>
    </row>
    <row r="2" spans="1:24" ht="15" thickBot="1" x14ac:dyDescent="0.35">
      <c r="A2" s="63"/>
      <c r="B2" s="64"/>
      <c r="C2" s="64"/>
      <c r="D2" s="64"/>
      <c r="E2" s="64"/>
      <c r="F2" s="64"/>
      <c r="G2" s="64"/>
      <c r="H2" s="64"/>
      <c r="I2" s="64"/>
      <c r="J2" s="64"/>
      <c r="K2" s="64"/>
      <c r="L2" s="64"/>
      <c r="M2" s="64"/>
      <c r="N2" s="64"/>
      <c r="O2" s="64"/>
      <c r="P2" s="64"/>
      <c r="Q2" s="64"/>
      <c r="R2" s="64"/>
      <c r="S2" s="64"/>
      <c r="T2" s="64"/>
      <c r="U2" s="64"/>
      <c r="V2" s="64"/>
      <c r="W2" s="64"/>
      <c r="X2" s="65"/>
    </row>
    <row r="3" spans="1:24" ht="15" customHeight="1" thickTop="1" x14ac:dyDescent="0.3">
      <c r="A3" s="5"/>
      <c r="B3" s="6"/>
      <c r="C3" s="6"/>
      <c r="D3" s="6"/>
    </row>
    <row r="4" spans="1:24" x14ac:dyDescent="0.3">
      <c r="A4" s="6"/>
      <c r="B4" s="6"/>
      <c r="C4" s="6"/>
      <c r="D4" s="6"/>
    </row>
    <row r="5" spans="1:24" x14ac:dyDescent="0.3">
      <c r="A5" s="6"/>
      <c r="B5" s="6"/>
      <c r="C5" s="6"/>
      <c r="D5" s="6"/>
    </row>
    <row r="6" spans="1:24" ht="15" thickBot="1" x14ac:dyDescent="0.35"/>
    <row r="7" spans="1:24" ht="14.4" customHeight="1" x14ac:dyDescent="0.3">
      <c r="A7" s="66" t="s">
        <v>640</v>
      </c>
      <c r="B7" s="67"/>
      <c r="C7" s="67"/>
      <c r="D7" s="68"/>
    </row>
    <row r="8" spans="1:24" ht="14.4" customHeight="1" x14ac:dyDescent="0.3">
      <c r="A8" s="69"/>
      <c r="B8" s="70"/>
      <c r="C8" s="70"/>
      <c r="D8" s="71"/>
    </row>
    <row r="9" spans="1:24" ht="15" customHeight="1" thickBot="1" x14ac:dyDescent="0.35">
      <c r="A9" s="72"/>
      <c r="B9" s="73"/>
      <c r="C9" s="73"/>
      <c r="D9" s="74"/>
    </row>
    <row r="11" spans="1:24" ht="16.2" thickBot="1" x14ac:dyDescent="0.35">
      <c r="A11" s="2" t="s">
        <v>608</v>
      </c>
      <c r="B11" s="3" t="s">
        <v>609</v>
      </c>
      <c r="C11" s="3" t="s">
        <v>610</v>
      </c>
      <c r="D11" s="4" t="s">
        <v>611</v>
      </c>
    </row>
    <row r="12" spans="1:24" ht="43.8" thickBot="1" x14ac:dyDescent="0.35">
      <c r="A12" s="16">
        <v>1</v>
      </c>
      <c r="B12" s="21" t="s">
        <v>615</v>
      </c>
      <c r="C12" s="17" t="s">
        <v>613</v>
      </c>
      <c r="D12" s="18" t="s">
        <v>614</v>
      </c>
      <c r="E12" s="15"/>
      <c r="G12" s="57" t="s">
        <v>622</v>
      </c>
      <c r="H12" s="58"/>
      <c r="I12" s="58"/>
      <c r="J12" s="58"/>
      <c r="K12" s="58"/>
      <c r="L12" s="58"/>
      <c r="M12" s="59"/>
    </row>
    <row r="13" spans="1:24" ht="28.8" x14ac:dyDescent="0.3">
      <c r="A13" s="16">
        <f>A12+1</f>
        <v>2</v>
      </c>
      <c r="B13" s="21" t="s">
        <v>616</v>
      </c>
      <c r="C13" s="19" t="s">
        <v>613</v>
      </c>
      <c r="D13" s="20" t="s">
        <v>617</v>
      </c>
      <c r="F13" s="1" t="s">
        <v>623</v>
      </c>
    </row>
    <row r="14" spans="1:24" ht="28.8" x14ac:dyDescent="0.3">
      <c r="A14" s="16">
        <f t="shared" ref="A14:A17" si="0">A13+1</f>
        <v>3</v>
      </c>
      <c r="B14" s="21" t="s">
        <v>618</v>
      </c>
      <c r="C14" s="19" t="s">
        <v>613</v>
      </c>
      <c r="D14" s="20" t="s">
        <v>617</v>
      </c>
      <c r="I14" s="22" t="s">
        <v>624</v>
      </c>
      <c r="J14" s="22" t="s">
        <v>625</v>
      </c>
      <c r="K14" s="22" t="s">
        <v>662</v>
      </c>
    </row>
    <row r="15" spans="1:24" ht="43.8" thickBot="1" x14ac:dyDescent="0.35">
      <c r="A15" s="16">
        <f t="shared" si="0"/>
        <v>4</v>
      </c>
      <c r="B15" s="21" t="s">
        <v>619</v>
      </c>
      <c r="C15" s="19" t="s">
        <v>613</v>
      </c>
      <c r="D15" s="20" t="s">
        <v>617</v>
      </c>
      <c r="I15" s="19">
        <v>1</v>
      </c>
      <c r="J15" s="25" t="s">
        <v>633</v>
      </c>
      <c r="K15" s="50">
        <f>SUM(Books[Price])</f>
        <v>7281</v>
      </c>
    </row>
    <row r="16" spans="1:24" ht="43.8" thickBot="1" x14ac:dyDescent="0.35">
      <c r="A16" s="16">
        <f t="shared" si="0"/>
        <v>5</v>
      </c>
      <c r="B16" s="21" t="s">
        <v>620</v>
      </c>
      <c r="C16" s="19" t="s">
        <v>613</v>
      </c>
      <c r="D16" s="20" t="s">
        <v>617</v>
      </c>
      <c r="I16" s="19">
        <f>I15+1</f>
        <v>2</v>
      </c>
      <c r="J16" s="19" t="s">
        <v>626</v>
      </c>
      <c r="K16" s="23">
        <f>AVERAGE(Books[Price])</f>
        <v>13.286496350364963</v>
      </c>
      <c r="S16" s="57" t="s">
        <v>637</v>
      </c>
      <c r="T16" s="58"/>
      <c r="U16" s="58"/>
      <c r="V16" s="59"/>
    </row>
    <row r="17" spans="1:22" x14ac:dyDescent="0.3">
      <c r="A17" s="16">
        <f t="shared" si="0"/>
        <v>6</v>
      </c>
      <c r="B17" s="21" t="s">
        <v>621</v>
      </c>
      <c r="C17" s="19" t="s">
        <v>613</v>
      </c>
      <c r="D17" s="20" t="s">
        <v>617</v>
      </c>
      <c r="I17" s="19">
        <f t="shared" ref="I17:I29" si="1">I16+1</f>
        <v>3</v>
      </c>
      <c r="J17" s="19" t="s">
        <v>627</v>
      </c>
      <c r="K17" s="24">
        <f>MAX(Books[Price])</f>
        <v>105</v>
      </c>
    </row>
    <row r="18" spans="1:22" ht="15.6" x14ac:dyDescent="0.3">
      <c r="I18" s="19">
        <f t="shared" si="1"/>
        <v>4</v>
      </c>
      <c r="J18" s="19" t="s">
        <v>628</v>
      </c>
      <c r="K18" s="24">
        <f>MIN(Books[Price])</f>
        <v>1</v>
      </c>
      <c r="S18" s="28" t="s">
        <v>608</v>
      </c>
      <c r="T18" s="28" t="s">
        <v>609</v>
      </c>
      <c r="U18" s="28" t="s">
        <v>636</v>
      </c>
      <c r="V18" s="28" t="s">
        <v>611</v>
      </c>
    </row>
    <row r="19" spans="1:22" ht="28.8" x14ac:dyDescent="0.3">
      <c r="I19" s="19">
        <f t="shared" si="1"/>
        <v>5</v>
      </c>
      <c r="J19" s="19" t="s">
        <v>629</v>
      </c>
      <c r="K19" s="26">
        <f>AVERAGE(Books[User Rating])</f>
        <v>4.6178832116788362</v>
      </c>
      <c r="S19" s="19">
        <v>1</v>
      </c>
      <c r="T19" s="21" t="s">
        <v>654</v>
      </c>
      <c r="U19" s="19" t="s">
        <v>613</v>
      </c>
      <c r="V19" s="19" t="s">
        <v>655</v>
      </c>
    </row>
    <row r="20" spans="1:22" ht="28.8" x14ac:dyDescent="0.3">
      <c r="I20" s="19">
        <f t="shared" si="1"/>
        <v>6</v>
      </c>
      <c r="J20" s="19" t="s">
        <v>653</v>
      </c>
      <c r="K20" s="49">
        <f>SUM('Data Cleaning'!D:D)</f>
        <v>6494150</v>
      </c>
      <c r="S20" s="29">
        <f t="shared" ref="S20:S25" si="2">1+S19</f>
        <v>2</v>
      </c>
      <c r="T20" s="21" t="s">
        <v>656</v>
      </c>
      <c r="U20" s="19" t="s">
        <v>613</v>
      </c>
      <c r="V20" s="19" t="s">
        <v>655</v>
      </c>
    </row>
    <row r="21" spans="1:22" ht="43.2" x14ac:dyDescent="0.3">
      <c r="I21" s="19">
        <f t="shared" si="1"/>
        <v>7</v>
      </c>
      <c r="J21" s="19" t="s">
        <v>630</v>
      </c>
      <c r="K21" s="27">
        <f>AVERAGE(Books[[#All],[Reviews]])</f>
        <v>11850.638686131388</v>
      </c>
      <c r="S21" s="29">
        <f t="shared" si="2"/>
        <v>3</v>
      </c>
      <c r="T21" s="21" t="s">
        <v>657</v>
      </c>
      <c r="U21" s="19" t="s">
        <v>613</v>
      </c>
      <c r="V21" s="19" t="s">
        <v>655</v>
      </c>
    </row>
    <row r="22" spans="1:22" ht="28.8" x14ac:dyDescent="0.3">
      <c r="I22" s="19">
        <f t="shared" si="1"/>
        <v>8</v>
      </c>
      <c r="J22" s="19" t="s">
        <v>632</v>
      </c>
      <c r="K22" s="19">
        <f>COUNTIF(Books[Genre],'Data Cleaning'!G540)</f>
        <v>239</v>
      </c>
      <c r="S22" s="29">
        <f t="shared" si="2"/>
        <v>4</v>
      </c>
      <c r="T22" s="21" t="s">
        <v>658</v>
      </c>
      <c r="U22" s="19" t="s">
        <v>613</v>
      </c>
      <c r="V22" s="19" t="s">
        <v>655</v>
      </c>
    </row>
    <row r="23" spans="1:22" ht="63.6" customHeight="1" x14ac:dyDescent="0.3">
      <c r="I23" s="19">
        <f t="shared" si="1"/>
        <v>9</v>
      </c>
      <c r="J23" s="19" t="s">
        <v>631</v>
      </c>
      <c r="K23" s="19">
        <f>COUNTIF(Books[Genre],'Data Cleaning'!G539)</f>
        <v>309</v>
      </c>
      <c r="S23" s="29">
        <f t="shared" si="2"/>
        <v>5</v>
      </c>
      <c r="T23" s="21" t="s">
        <v>659</v>
      </c>
      <c r="U23" s="19" t="s">
        <v>613</v>
      </c>
      <c r="V23" s="19" t="s">
        <v>655</v>
      </c>
    </row>
    <row r="24" spans="1:22" ht="24.6" customHeight="1" x14ac:dyDescent="0.3">
      <c r="I24" s="19">
        <f t="shared" si="1"/>
        <v>10</v>
      </c>
      <c r="J24" s="19" t="s">
        <v>634</v>
      </c>
      <c r="K24" s="21" t="str">
        <f>_xlfn.CONCAT(_xlfn.XLOOKUP(MAX('Data Cleaning'!D:D),'Data Cleaning'!D:D,'Data Cleaning'!A:A)," Got 88 k comments ")</f>
        <v xml:space="preserve">Where the Crawdads Sing Got 88 k comments </v>
      </c>
      <c r="S24" s="29">
        <f t="shared" si="2"/>
        <v>6</v>
      </c>
      <c r="T24" s="21" t="s">
        <v>660</v>
      </c>
      <c r="U24" s="19" t="s">
        <v>613</v>
      </c>
      <c r="V24" s="19" t="s">
        <v>655</v>
      </c>
    </row>
    <row r="25" spans="1:22" ht="86.4" x14ac:dyDescent="0.3">
      <c r="I25" s="19">
        <f t="shared" si="1"/>
        <v>11</v>
      </c>
      <c r="J25" s="21" t="s">
        <v>635</v>
      </c>
      <c r="K25" s="21" t="str">
        <f>_xlfn.CONCAT(_xlfn.XLOOKUP(MIN('Data Cleaning'!D:D),'Data Cleaning'!D:D,'Data Cleaning'!A:A)," Got 36 comments ")</f>
        <v xml:space="preserve">Divine Soul Mind Body Healing and Transmission System: The Divine Way to Heal You, Humanity, Mother Earth, and Allâ€¦ Got 36 comments </v>
      </c>
      <c r="N25" s="1" t="s">
        <v>623</v>
      </c>
      <c r="S25" s="29">
        <f t="shared" si="2"/>
        <v>7</v>
      </c>
      <c r="T25" s="21" t="s">
        <v>661</v>
      </c>
      <c r="U25" s="19" t="s">
        <v>613</v>
      </c>
      <c r="V25" s="19" t="s">
        <v>655</v>
      </c>
    </row>
    <row r="26" spans="1:22" ht="30.6" customHeight="1" x14ac:dyDescent="0.3">
      <c r="I26" s="19">
        <f t="shared" si="1"/>
        <v>12</v>
      </c>
      <c r="J26" s="21" t="s">
        <v>638</v>
      </c>
      <c r="K26" s="30">
        <f>SUMIF('Data Cleaning'!G:G,'Data Cleaning'!G3,'Data Cleaning'!D:D)</f>
        <v>3713628</v>
      </c>
    </row>
    <row r="27" spans="1:22" ht="28.8" customHeight="1" x14ac:dyDescent="0.3">
      <c r="I27" s="19">
        <f t="shared" si="1"/>
        <v>13</v>
      </c>
      <c r="J27" s="21" t="s">
        <v>639</v>
      </c>
      <c r="K27" s="27">
        <f>SUMIF('Data Cleaning'!G:G,'Data Cleaning'!G2,'Data Cleaning'!D:D)</f>
        <v>2780522</v>
      </c>
    </row>
    <row r="28" spans="1:22" ht="40.799999999999997" customHeight="1" x14ac:dyDescent="0.3">
      <c r="I28" s="19">
        <f t="shared" si="1"/>
        <v>14</v>
      </c>
      <c r="J28" s="21" t="s">
        <v>641</v>
      </c>
      <c r="K28" s="29" t="str">
        <f>_xlfn.CONCAT('Data Cleaning'!P2," has ",'Data Cleaning'!Q2)</f>
        <v>Suzanne Collins has 278329</v>
      </c>
    </row>
    <row r="29" spans="1:22" ht="39.6" customHeight="1" thickBot="1" x14ac:dyDescent="0.35">
      <c r="I29" s="19">
        <f t="shared" si="1"/>
        <v>15</v>
      </c>
      <c r="J29" s="31" t="s">
        <v>642</v>
      </c>
      <c r="K29" s="29" t="str">
        <f>_xlfn.CONCAT('Data Cleaning'!P3," has ",'Data Cleaning'!Q3)</f>
        <v>Zhi Gang Sha has 257</v>
      </c>
    </row>
    <row r="30" spans="1:22" x14ac:dyDescent="0.3">
      <c r="I30" s="75" t="s">
        <v>652</v>
      </c>
      <c r="J30" s="76"/>
      <c r="K30" s="77"/>
    </row>
    <row r="31" spans="1:22" ht="15" thickBot="1" x14ac:dyDescent="0.35">
      <c r="I31" s="78"/>
      <c r="J31" s="79"/>
      <c r="K31" s="80"/>
    </row>
  </sheetData>
  <mergeCells count="5">
    <mergeCell ref="G12:M12"/>
    <mergeCell ref="A1:X2"/>
    <mergeCell ref="S16:V16"/>
    <mergeCell ref="A7:D9"/>
    <mergeCell ref="I30:K31"/>
  </mergeCells>
  <pageMargins left="0.7" right="0.7" top="0.75" bottom="0.75" header="0.3" footer="0.3"/>
  <ignoredErrors>
    <ignoredError sqref="K21:K26 J27:K27 K28:K29 K17:K20 K15" calculatedColumn="1"/>
  </ignoredErrors>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D01A-0728-43F7-8A07-88EFD855CC52}">
  <sheetPr>
    <tabColor theme="3"/>
  </sheetPr>
  <dimension ref="B6:D18"/>
  <sheetViews>
    <sheetView showGridLines="0" workbookViewId="0">
      <selection activeCell="D21" sqref="D21"/>
    </sheetView>
  </sheetViews>
  <sheetFormatPr defaultRowHeight="14.4" x14ac:dyDescent="0.3"/>
  <cols>
    <col min="1" max="1" width="11.6640625" style="81" bestFit="1" customWidth="1"/>
    <col min="2" max="3" width="21.77734375" style="81" bestFit="1" customWidth="1"/>
    <col min="4" max="4" width="15.88671875" style="81" bestFit="1" customWidth="1"/>
    <col min="5" max="16384" width="8.88671875" style="81"/>
  </cols>
  <sheetData>
    <row r="6" spans="2:4" ht="15.6" x14ac:dyDescent="0.3">
      <c r="B6" s="52" t="s">
        <v>5</v>
      </c>
      <c r="C6" s="52" t="s">
        <v>646</v>
      </c>
      <c r="D6" s="52" t="s">
        <v>648</v>
      </c>
    </row>
    <row r="7" spans="2:4" x14ac:dyDescent="0.3">
      <c r="B7" s="82">
        <v>2011</v>
      </c>
      <c r="C7" s="83">
        <v>4.5580000000000007</v>
      </c>
      <c r="D7" s="84">
        <v>15.32</v>
      </c>
    </row>
    <row r="8" spans="2:4" x14ac:dyDescent="0.3">
      <c r="B8" s="82">
        <v>2012</v>
      </c>
      <c r="C8" s="83">
        <v>4.532</v>
      </c>
      <c r="D8" s="84">
        <v>15.3</v>
      </c>
    </row>
    <row r="9" spans="2:4" x14ac:dyDescent="0.3">
      <c r="B9" s="82">
        <v>2013</v>
      </c>
      <c r="C9" s="83">
        <v>4.5540000000000003</v>
      </c>
      <c r="D9" s="84">
        <v>14.94</v>
      </c>
    </row>
    <row r="10" spans="2:4" x14ac:dyDescent="0.3">
      <c r="B10" s="82">
        <v>2014</v>
      </c>
      <c r="C10" s="83">
        <v>4.616666666666668</v>
      </c>
      <c r="D10" s="84">
        <v>15.333333333333334</v>
      </c>
    </row>
    <row r="11" spans="2:4" x14ac:dyDescent="0.3">
      <c r="B11" s="82">
        <v>2019</v>
      </c>
      <c r="C11" s="83">
        <v>4.740000000000002</v>
      </c>
      <c r="D11" s="84">
        <v>10.08</v>
      </c>
    </row>
    <row r="12" spans="2:4" x14ac:dyDescent="0.3">
      <c r="B12" s="85">
        <v>2010</v>
      </c>
      <c r="C12" s="86">
        <v>4.5579999999999998</v>
      </c>
      <c r="D12" s="87">
        <v>13.68</v>
      </c>
    </row>
    <row r="13" spans="2:4" x14ac:dyDescent="0.3">
      <c r="B13" s="82">
        <v>2009</v>
      </c>
      <c r="C13" s="83">
        <v>4.5839999999999996</v>
      </c>
      <c r="D13" s="84">
        <v>15.4</v>
      </c>
    </row>
    <row r="14" spans="2:4" x14ac:dyDescent="0.3">
      <c r="B14" s="82">
        <v>2015</v>
      </c>
      <c r="C14" s="83">
        <v>4.6479999999999997</v>
      </c>
      <c r="D14" s="84">
        <v>10.56</v>
      </c>
    </row>
    <row r="15" spans="2:4" x14ac:dyDescent="0.3">
      <c r="B15" s="82">
        <v>2016</v>
      </c>
      <c r="C15" s="83">
        <v>4.6780000000000008</v>
      </c>
      <c r="D15" s="84">
        <v>13.46</v>
      </c>
    </row>
    <row r="16" spans="2:4" x14ac:dyDescent="0.3">
      <c r="B16" s="82">
        <v>2017</v>
      </c>
      <c r="C16" s="83">
        <v>4.66</v>
      </c>
      <c r="D16" s="84">
        <v>11.64</v>
      </c>
    </row>
    <row r="17" spans="2:4" x14ac:dyDescent="0.3">
      <c r="B17" s="82">
        <v>2018</v>
      </c>
      <c r="C17" s="83">
        <v>4.6680000000000028</v>
      </c>
      <c r="D17" s="84">
        <v>10.52</v>
      </c>
    </row>
    <row r="18" spans="2:4" ht="15.6" x14ac:dyDescent="0.3">
      <c r="B18" s="52" t="s">
        <v>645</v>
      </c>
      <c r="C18" s="53">
        <v>4.6178832116788362</v>
      </c>
      <c r="D18" s="54">
        <v>13.286496350364963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F8C7-EE00-4D79-9137-030A91753094}">
  <sheetPr>
    <tabColor theme="4" tint="-0.499984740745262"/>
  </sheetPr>
  <dimension ref="B11:M14"/>
  <sheetViews>
    <sheetView showGridLines="0" topLeftCell="A4" workbookViewId="0">
      <selection activeCell="I15" sqref="I15"/>
    </sheetView>
  </sheetViews>
  <sheetFormatPr defaultRowHeight="14.4" x14ac:dyDescent="0.3"/>
  <cols>
    <col min="1" max="1" width="8.88671875" style="81"/>
    <col min="2" max="2" width="11.6640625" style="81" bestFit="1" customWidth="1"/>
    <col min="3" max="3" width="21.77734375" style="81" bestFit="1" customWidth="1"/>
    <col min="4" max="11" width="8.88671875" style="81"/>
    <col min="12" max="12" width="11.6640625" style="81" bestFit="1" customWidth="1"/>
    <col min="13" max="13" width="15.5546875" style="81" bestFit="1" customWidth="1"/>
    <col min="14" max="16384" width="8.88671875" style="81"/>
  </cols>
  <sheetData>
    <row r="11" spans="2:13" ht="15.6" x14ac:dyDescent="0.3">
      <c r="B11" s="36" t="s">
        <v>6</v>
      </c>
      <c r="C11" s="36" t="s">
        <v>646</v>
      </c>
      <c r="L11" s="52" t="s">
        <v>6</v>
      </c>
      <c r="M11" s="52" t="s">
        <v>649</v>
      </c>
    </row>
    <row r="12" spans="2:13" x14ac:dyDescent="0.3">
      <c r="B12" s="82" t="s">
        <v>12</v>
      </c>
      <c r="C12" s="88">
        <v>4.6481171548117084</v>
      </c>
      <c r="L12" s="82" t="s">
        <v>12</v>
      </c>
      <c r="M12" s="89">
        <v>3713628</v>
      </c>
    </row>
    <row r="13" spans="2:13" x14ac:dyDescent="0.3">
      <c r="B13" s="82" t="s">
        <v>9</v>
      </c>
      <c r="C13" s="88">
        <v>4.5944983818770213</v>
      </c>
      <c r="L13" s="82" t="s">
        <v>9</v>
      </c>
      <c r="M13" s="89">
        <v>2780522</v>
      </c>
    </row>
    <row r="14" spans="2:13" ht="15.6" x14ac:dyDescent="0.3">
      <c r="B14" s="36" t="s">
        <v>645</v>
      </c>
      <c r="C14" s="37">
        <v>4.6178832116788362</v>
      </c>
      <c r="L14" s="52" t="s">
        <v>645</v>
      </c>
      <c r="M14" s="55">
        <v>6494150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3720-DE71-49B7-AB3F-CA14C1968DC9}">
  <sheetPr>
    <tabColor theme="4" tint="-0.499984740745262"/>
  </sheetPr>
  <dimension ref="A6:G20"/>
  <sheetViews>
    <sheetView showGridLines="0" topLeftCell="D1" workbookViewId="0">
      <selection activeCell="G32" sqref="G32"/>
    </sheetView>
  </sheetViews>
  <sheetFormatPr defaultRowHeight="14.4" x14ac:dyDescent="0.3"/>
  <cols>
    <col min="1" max="1" width="11.6640625" style="81" bestFit="1" customWidth="1"/>
    <col min="2" max="2" width="15.5546875" style="81" bestFit="1" customWidth="1"/>
    <col min="3" max="3" width="15.88671875" style="81" bestFit="1" customWidth="1"/>
    <col min="4" max="4" width="15.5546875" style="81" bestFit="1" customWidth="1"/>
    <col min="5" max="5" width="15.88671875" style="81" bestFit="1" customWidth="1"/>
    <col min="6" max="6" width="20.5546875" style="81" bestFit="1" customWidth="1"/>
    <col min="7" max="7" width="20.88671875" style="81" bestFit="1" customWidth="1"/>
    <col min="8" max="8" width="15.88671875" style="81" bestFit="1" customWidth="1"/>
    <col min="9" max="9" width="20.5546875" style="81" bestFit="1" customWidth="1"/>
    <col min="10" max="10" width="20.88671875" style="81" bestFit="1" customWidth="1"/>
    <col min="11" max="16384" width="8.88671875" style="81"/>
  </cols>
  <sheetData>
    <row r="6" spans="1:7" ht="15.6" x14ac:dyDescent="0.3">
      <c r="A6" s="91"/>
      <c r="B6" s="91" t="s">
        <v>6</v>
      </c>
      <c r="C6" s="91"/>
      <c r="D6" s="91"/>
      <c r="E6" s="91"/>
      <c r="F6" s="91"/>
      <c r="G6" s="91"/>
    </row>
    <row r="7" spans="1:7" ht="15.6" x14ac:dyDescent="0.3">
      <c r="A7" s="91"/>
      <c r="B7" s="91" t="s">
        <v>12</v>
      </c>
      <c r="C7" s="91"/>
      <c r="D7" s="91" t="s">
        <v>9</v>
      </c>
      <c r="E7" s="91"/>
      <c r="F7" s="91" t="s">
        <v>650</v>
      </c>
      <c r="G7" s="91" t="s">
        <v>651</v>
      </c>
    </row>
    <row r="8" spans="1:7" ht="15.6" x14ac:dyDescent="0.3">
      <c r="A8" s="91" t="s">
        <v>5</v>
      </c>
      <c r="B8" s="91" t="s">
        <v>649</v>
      </c>
      <c r="C8" s="91" t="s">
        <v>648</v>
      </c>
      <c r="D8" s="91" t="s">
        <v>649</v>
      </c>
      <c r="E8" s="91" t="s">
        <v>648</v>
      </c>
      <c r="F8" s="91"/>
      <c r="G8" s="91"/>
    </row>
    <row r="9" spans="1:7" x14ac:dyDescent="0.3">
      <c r="A9" s="82">
        <v>2009</v>
      </c>
      <c r="B9" s="90">
        <v>156824</v>
      </c>
      <c r="C9" s="84">
        <v>15.583333333333334</v>
      </c>
      <c r="D9" s="90">
        <v>78682</v>
      </c>
      <c r="E9" s="84">
        <v>15.23076923076923</v>
      </c>
      <c r="F9" s="90">
        <v>235506</v>
      </c>
      <c r="G9" s="84">
        <v>15.4</v>
      </c>
    </row>
    <row r="10" spans="1:7" x14ac:dyDescent="0.3">
      <c r="A10" s="82">
        <v>2010</v>
      </c>
      <c r="B10" s="90">
        <v>168185</v>
      </c>
      <c r="C10" s="84">
        <v>10.199999999999999</v>
      </c>
      <c r="D10" s="90">
        <v>105796</v>
      </c>
      <c r="E10" s="84">
        <v>16</v>
      </c>
      <c r="F10" s="90">
        <v>273981</v>
      </c>
      <c r="G10" s="84">
        <v>13.68</v>
      </c>
    </row>
    <row r="11" spans="1:7" x14ac:dyDescent="0.3">
      <c r="A11" s="82">
        <v>2011</v>
      </c>
      <c r="B11" s="90">
        <v>217041</v>
      </c>
      <c r="C11" s="84">
        <v>12.142857142857142</v>
      </c>
      <c r="D11" s="90">
        <v>188000</v>
      </c>
      <c r="E11" s="84">
        <v>17.620689655172413</v>
      </c>
      <c r="F11" s="90">
        <v>405041</v>
      </c>
      <c r="G11" s="84">
        <v>15.32</v>
      </c>
    </row>
    <row r="12" spans="1:7" x14ac:dyDescent="0.3">
      <c r="A12" s="82">
        <v>2012</v>
      </c>
      <c r="B12" s="90">
        <v>417821</v>
      </c>
      <c r="C12" s="84">
        <v>12.285714285714286</v>
      </c>
      <c r="D12" s="90">
        <v>236725</v>
      </c>
      <c r="E12" s="84">
        <v>17.482758620689655</v>
      </c>
      <c r="F12" s="90">
        <v>654546</v>
      </c>
      <c r="G12" s="84">
        <v>15.3</v>
      </c>
    </row>
    <row r="13" spans="1:7" x14ac:dyDescent="0.3">
      <c r="A13" s="82">
        <v>2013</v>
      </c>
      <c r="B13" s="90">
        <v>479684</v>
      </c>
      <c r="C13" s="84">
        <v>11.416666666666666</v>
      </c>
      <c r="D13" s="90">
        <v>175223</v>
      </c>
      <c r="E13" s="84">
        <v>18.192307692307693</v>
      </c>
      <c r="F13" s="90">
        <v>654907</v>
      </c>
      <c r="G13" s="84">
        <v>14.94</v>
      </c>
    </row>
    <row r="14" spans="1:7" x14ac:dyDescent="0.3">
      <c r="A14" s="82">
        <v>2014</v>
      </c>
      <c r="B14" s="90">
        <v>511621</v>
      </c>
      <c r="C14" s="84">
        <v>11.214285714285714</v>
      </c>
      <c r="D14" s="90">
        <v>201221</v>
      </c>
      <c r="E14" s="84">
        <v>21.1</v>
      </c>
      <c r="F14" s="90">
        <v>712842</v>
      </c>
      <c r="G14" s="84">
        <v>15.333333333333334</v>
      </c>
    </row>
    <row r="15" spans="1:7" x14ac:dyDescent="0.3">
      <c r="A15" s="82">
        <v>2015</v>
      </c>
      <c r="B15" s="90">
        <v>403004</v>
      </c>
      <c r="C15" s="84">
        <v>9.764705882352942</v>
      </c>
      <c r="D15" s="90">
        <v>308665</v>
      </c>
      <c r="E15" s="84">
        <v>10.969696969696969</v>
      </c>
      <c r="F15" s="90">
        <v>711669</v>
      </c>
      <c r="G15" s="84">
        <v>10.56</v>
      </c>
    </row>
    <row r="16" spans="1:7" x14ac:dyDescent="0.3">
      <c r="A16" s="82">
        <v>2016</v>
      </c>
      <c r="B16" s="90">
        <v>371702</v>
      </c>
      <c r="C16" s="84">
        <v>13</v>
      </c>
      <c r="D16" s="90">
        <v>338098</v>
      </c>
      <c r="E16" s="84">
        <v>13.741935483870968</v>
      </c>
      <c r="F16" s="90">
        <v>709800</v>
      </c>
      <c r="G16" s="84">
        <v>13.46</v>
      </c>
    </row>
    <row r="17" spans="1:7" x14ac:dyDescent="0.3">
      <c r="A17" s="82">
        <v>2017</v>
      </c>
      <c r="B17" s="90">
        <v>350684</v>
      </c>
      <c r="C17" s="84">
        <v>9.375</v>
      </c>
      <c r="D17" s="90">
        <v>293736</v>
      </c>
      <c r="E17" s="84">
        <v>13.73076923076923</v>
      </c>
      <c r="F17" s="90">
        <v>644420</v>
      </c>
      <c r="G17" s="84">
        <v>11.64</v>
      </c>
    </row>
    <row r="18" spans="1:7" x14ac:dyDescent="0.3">
      <c r="A18" s="82">
        <v>2018</v>
      </c>
      <c r="B18" s="90">
        <v>266919</v>
      </c>
      <c r="C18" s="84">
        <v>8.7619047619047628</v>
      </c>
      <c r="D18" s="90">
        <v>429602</v>
      </c>
      <c r="E18" s="84">
        <v>11.793103448275861</v>
      </c>
      <c r="F18" s="90">
        <v>696521</v>
      </c>
      <c r="G18" s="84">
        <v>10.52</v>
      </c>
    </row>
    <row r="19" spans="1:7" x14ac:dyDescent="0.3">
      <c r="A19" s="82">
        <v>2019</v>
      </c>
      <c r="B19" s="90">
        <v>370143</v>
      </c>
      <c r="C19" s="84">
        <v>9.35</v>
      </c>
      <c r="D19" s="90">
        <v>424774</v>
      </c>
      <c r="E19" s="84">
        <v>10.566666666666666</v>
      </c>
      <c r="F19" s="90">
        <v>794917</v>
      </c>
      <c r="G19" s="84">
        <v>10.08</v>
      </c>
    </row>
    <row r="20" spans="1:7" ht="15.6" x14ac:dyDescent="0.3">
      <c r="A20" s="40" t="s">
        <v>645</v>
      </c>
      <c r="B20" s="41">
        <v>3713628</v>
      </c>
      <c r="C20" s="42">
        <v>11.246861924686192</v>
      </c>
      <c r="D20" s="41">
        <v>2780522</v>
      </c>
      <c r="E20" s="42">
        <v>14.864077669902912</v>
      </c>
      <c r="F20" s="41">
        <v>6494150</v>
      </c>
      <c r="G20" s="42">
        <v>13.286496350364963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9A1E-C81C-4F71-8B79-128ABABA5D8B}">
  <sheetPr>
    <tabColor theme="3"/>
  </sheetPr>
  <dimension ref="B6:D40"/>
  <sheetViews>
    <sheetView showGridLines="0" workbookViewId="0">
      <selection activeCell="N6" sqref="N6"/>
    </sheetView>
  </sheetViews>
  <sheetFormatPr defaultRowHeight="14.4" x14ac:dyDescent="0.3"/>
  <cols>
    <col min="1" max="1" width="8.88671875" style="81"/>
    <col min="2" max="2" width="14.21875" style="81" bestFit="1" customWidth="1"/>
    <col min="3" max="3" width="15.5546875" style="81" bestFit="1" customWidth="1"/>
    <col min="4" max="4" width="21.77734375" style="81" bestFit="1" customWidth="1"/>
    <col min="5" max="16384" width="8.88671875" style="81"/>
  </cols>
  <sheetData>
    <row r="6" spans="2:3" ht="15.6" x14ac:dyDescent="0.3">
      <c r="B6" s="40" t="s">
        <v>5</v>
      </c>
      <c r="C6" s="40" t="s">
        <v>649</v>
      </c>
    </row>
    <row r="7" spans="2:3" x14ac:dyDescent="0.3">
      <c r="B7" s="82">
        <v>2009</v>
      </c>
      <c r="C7" s="89">
        <v>235506</v>
      </c>
    </row>
    <row r="8" spans="2:3" x14ac:dyDescent="0.3">
      <c r="B8" s="82">
        <v>2010</v>
      </c>
      <c r="C8" s="89">
        <v>273981</v>
      </c>
    </row>
    <row r="9" spans="2:3" x14ac:dyDescent="0.3">
      <c r="B9" s="82">
        <v>2011</v>
      </c>
      <c r="C9" s="89">
        <v>405041</v>
      </c>
    </row>
    <row r="10" spans="2:3" x14ac:dyDescent="0.3">
      <c r="B10" s="82">
        <v>2012</v>
      </c>
      <c r="C10" s="89">
        <v>654546</v>
      </c>
    </row>
    <row r="11" spans="2:3" x14ac:dyDescent="0.3">
      <c r="B11" s="82">
        <v>2013</v>
      </c>
      <c r="C11" s="89">
        <v>654907</v>
      </c>
    </row>
    <row r="12" spans="2:3" x14ac:dyDescent="0.3">
      <c r="B12" s="82">
        <v>2014</v>
      </c>
      <c r="C12" s="89">
        <v>712842</v>
      </c>
    </row>
    <row r="13" spans="2:3" x14ac:dyDescent="0.3">
      <c r="B13" s="82">
        <v>2015</v>
      </c>
      <c r="C13" s="89">
        <v>711669</v>
      </c>
    </row>
    <row r="14" spans="2:3" x14ac:dyDescent="0.3">
      <c r="B14" s="82">
        <v>2016</v>
      </c>
      <c r="C14" s="89">
        <v>709800</v>
      </c>
    </row>
    <row r="15" spans="2:3" x14ac:dyDescent="0.3">
      <c r="B15" s="82">
        <v>2017</v>
      </c>
      <c r="C15" s="89">
        <v>644420</v>
      </c>
    </row>
    <row r="16" spans="2:3" x14ac:dyDescent="0.3">
      <c r="B16" s="82">
        <v>2018</v>
      </c>
      <c r="C16" s="89">
        <v>696521</v>
      </c>
    </row>
    <row r="17" spans="2:4" x14ac:dyDescent="0.3">
      <c r="B17" s="82">
        <v>2019</v>
      </c>
      <c r="C17" s="89">
        <v>794917</v>
      </c>
    </row>
    <row r="18" spans="2:4" ht="15.6" x14ac:dyDescent="0.3">
      <c r="B18" s="40" t="s">
        <v>645</v>
      </c>
      <c r="C18" s="56">
        <v>6494150</v>
      </c>
    </row>
    <row r="29" spans="2:4" ht="15.6" x14ac:dyDescent="0.3">
      <c r="B29" s="40" t="s">
        <v>1</v>
      </c>
      <c r="C29" s="40" t="s">
        <v>649</v>
      </c>
      <c r="D29" s="40" t="s">
        <v>646</v>
      </c>
    </row>
    <row r="30" spans="2:4" x14ac:dyDescent="0.3">
      <c r="B30" s="92" t="s">
        <v>88</v>
      </c>
      <c r="C30" s="89">
        <v>278329</v>
      </c>
      <c r="D30" s="83">
        <v>4.663636363636364</v>
      </c>
    </row>
    <row r="31" spans="2:4" x14ac:dyDescent="0.3">
      <c r="B31" s="92" t="s">
        <v>157</v>
      </c>
      <c r="C31" s="89">
        <v>178011</v>
      </c>
      <c r="D31" s="83">
        <v>4.2333333333333334</v>
      </c>
    </row>
    <row r="32" spans="2:4" x14ac:dyDescent="0.3">
      <c r="B32" s="92" t="s">
        <v>319</v>
      </c>
      <c r="C32" s="89">
        <v>176545</v>
      </c>
      <c r="D32" s="83">
        <v>4.8777777777777773</v>
      </c>
    </row>
    <row r="33" spans="2:4" x14ac:dyDescent="0.3">
      <c r="B33" s="92" t="s">
        <v>190</v>
      </c>
      <c r="C33" s="89">
        <v>171813</v>
      </c>
      <c r="D33" s="83">
        <v>4</v>
      </c>
    </row>
    <row r="34" spans="2:4" x14ac:dyDescent="0.3">
      <c r="B34" s="92" t="s">
        <v>289</v>
      </c>
      <c r="C34" s="89">
        <v>159937</v>
      </c>
      <c r="D34" s="83">
        <v>4.6499999999999995</v>
      </c>
    </row>
    <row r="35" spans="2:4" x14ac:dyDescent="0.3">
      <c r="B35" s="92" t="s">
        <v>436</v>
      </c>
      <c r="C35" s="89">
        <v>158892</v>
      </c>
      <c r="D35" s="83">
        <v>4.0999999999999996</v>
      </c>
    </row>
    <row r="36" spans="2:4" x14ac:dyDescent="0.3">
      <c r="B36" s="92" t="s">
        <v>184</v>
      </c>
      <c r="C36" s="89">
        <v>146152</v>
      </c>
      <c r="D36" s="83">
        <v>4.6000000000000005</v>
      </c>
    </row>
    <row r="37" spans="2:4" x14ac:dyDescent="0.3">
      <c r="B37" s="92" t="s">
        <v>385</v>
      </c>
      <c r="C37" s="89">
        <v>145958</v>
      </c>
      <c r="D37" s="83">
        <v>4.7363636363636354</v>
      </c>
    </row>
    <row r="38" spans="2:4" x14ac:dyDescent="0.3">
      <c r="B38" s="92" t="s">
        <v>433</v>
      </c>
      <c r="C38" s="89">
        <v>139848</v>
      </c>
      <c r="D38" s="83">
        <v>4.7</v>
      </c>
    </row>
    <row r="39" spans="2:4" x14ac:dyDescent="0.3">
      <c r="B39" s="92" t="s">
        <v>536</v>
      </c>
      <c r="C39" s="89">
        <v>136822</v>
      </c>
      <c r="D39" s="83">
        <v>4.8999999999999995</v>
      </c>
    </row>
    <row r="40" spans="2:4" ht="15.6" x14ac:dyDescent="0.3">
      <c r="B40" s="40" t="s">
        <v>645</v>
      </c>
      <c r="C40" s="41">
        <v>1692307</v>
      </c>
      <c r="D40" s="43">
        <v>4.6399999999999997</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0223-0FCE-49A3-9930-D8198B573C26}">
  <sheetPr>
    <tabColor theme="3"/>
  </sheetPr>
  <dimension ref="A7:C28"/>
  <sheetViews>
    <sheetView showGridLines="0" topLeftCell="A10" workbookViewId="0">
      <selection activeCell="G19" sqref="G19"/>
    </sheetView>
  </sheetViews>
  <sheetFormatPr defaultRowHeight="14.4" x14ac:dyDescent="0.3"/>
  <cols>
    <col min="1" max="1" width="73.88671875" style="81" bestFit="1" customWidth="1"/>
    <col min="2" max="2" width="15.5546875" style="81" bestFit="1" customWidth="1"/>
    <col min="3" max="3" width="21.77734375" style="81" bestFit="1" customWidth="1"/>
    <col min="4" max="16384" width="8.88671875" style="81"/>
  </cols>
  <sheetData>
    <row r="7" spans="1:3" ht="15.6" x14ac:dyDescent="0.3">
      <c r="A7" s="35" t="s">
        <v>647</v>
      </c>
      <c r="B7" s="36" t="s">
        <v>649</v>
      </c>
      <c r="C7" s="36" t="s">
        <v>646</v>
      </c>
    </row>
    <row r="8" spans="1:3" x14ac:dyDescent="0.3">
      <c r="A8" s="38" t="s">
        <v>318</v>
      </c>
      <c r="B8" s="93"/>
      <c r="C8" s="94"/>
    </row>
    <row r="9" spans="1:3" x14ac:dyDescent="0.3">
      <c r="A9" s="47" t="s">
        <v>12</v>
      </c>
      <c r="B9" s="48">
        <v>174672</v>
      </c>
      <c r="C9" s="51">
        <v>4.8999999999999995</v>
      </c>
    </row>
    <row r="10" spans="1:3" x14ac:dyDescent="0.3">
      <c r="A10" s="38" t="s">
        <v>189</v>
      </c>
      <c r="B10" s="44"/>
      <c r="C10" s="39"/>
    </row>
    <row r="11" spans="1:3" x14ac:dyDescent="0.3">
      <c r="A11" s="47" t="s">
        <v>12</v>
      </c>
      <c r="B11" s="48">
        <v>171813</v>
      </c>
      <c r="C11" s="51">
        <v>4</v>
      </c>
    </row>
    <row r="12" spans="1:3" x14ac:dyDescent="0.3">
      <c r="A12" s="38" t="s">
        <v>435</v>
      </c>
      <c r="B12" s="44"/>
      <c r="C12" s="39"/>
    </row>
    <row r="13" spans="1:3" x14ac:dyDescent="0.3">
      <c r="A13" s="47" t="s">
        <v>12</v>
      </c>
      <c r="B13" s="48">
        <v>158892</v>
      </c>
      <c r="C13" s="51">
        <v>4.0999999999999996</v>
      </c>
    </row>
    <row r="14" spans="1:3" x14ac:dyDescent="0.3">
      <c r="A14" s="38" t="s">
        <v>428</v>
      </c>
      <c r="B14" s="44"/>
      <c r="C14" s="39"/>
    </row>
    <row r="15" spans="1:3" x14ac:dyDescent="0.3">
      <c r="A15" s="47" t="s">
        <v>12</v>
      </c>
      <c r="B15" s="48">
        <v>151446</v>
      </c>
      <c r="C15" s="51">
        <v>4.7</v>
      </c>
    </row>
    <row r="16" spans="1:3" x14ac:dyDescent="0.3">
      <c r="A16" s="38" t="s">
        <v>384</v>
      </c>
      <c r="B16" s="44"/>
      <c r="C16" s="39"/>
    </row>
    <row r="17" spans="1:3" x14ac:dyDescent="0.3">
      <c r="A17" s="47" t="s">
        <v>9</v>
      </c>
      <c r="B17" s="48">
        <v>145155</v>
      </c>
      <c r="C17" s="51">
        <v>4.7499999999999991</v>
      </c>
    </row>
    <row r="18" spans="1:3" x14ac:dyDescent="0.3">
      <c r="A18" s="38" t="s">
        <v>432</v>
      </c>
      <c r="B18" s="44"/>
      <c r="C18" s="39"/>
    </row>
    <row r="19" spans="1:3" x14ac:dyDescent="0.3">
      <c r="A19" s="47" t="s">
        <v>9</v>
      </c>
      <c r="B19" s="48">
        <v>139848</v>
      </c>
      <c r="C19" s="51">
        <v>4.7</v>
      </c>
    </row>
    <row r="20" spans="1:3" x14ac:dyDescent="0.3">
      <c r="A20" s="38" t="s">
        <v>535</v>
      </c>
      <c r="B20" s="44"/>
      <c r="C20" s="39"/>
    </row>
    <row r="21" spans="1:3" x14ac:dyDescent="0.3">
      <c r="A21" s="47" t="s">
        <v>12</v>
      </c>
      <c r="B21" s="48">
        <v>136822</v>
      </c>
      <c r="C21" s="51">
        <v>4.8999999999999995</v>
      </c>
    </row>
    <row r="22" spans="1:3" x14ac:dyDescent="0.3">
      <c r="A22" s="38" t="s">
        <v>559</v>
      </c>
      <c r="B22" s="44"/>
      <c r="C22" s="39"/>
    </row>
    <row r="23" spans="1:3" x14ac:dyDescent="0.3">
      <c r="A23" s="47" t="s">
        <v>12</v>
      </c>
      <c r="B23" s="48">
        <v>131170</v>
      </c>
      <c r="C23" s="51">
        <v>4.8</v>
      </c>
    </row>
    <row r="24" spans="1:3" x14ac:dyDescent="0.3">
      <c r="A24" s="38" t="s">
        <v>225</v>
      </c>
      <c r="B24" s="44"/>
      <c r="C24" s="39"/>
    </row>
    <row r="25" spans="1:3" x14ac:dyDescent="0.3">
      <c r="A25" s="47" t="s">
        <v>9</v>
      </c>
      <c r="B25" s="48">
        <v>125005</v>
      </c>
      <c r="C25" s="51">
        <v>4.7</v>
      </c>
    </row>
    <row r="26" spans="1:3" x14ac:dyDescent="0.3">
      <c r="A26" s="38" t="s">
        <v>66</v>
      </c>
      <c r="B26" s="44"/>
      <c r="C26" s="39"/>
    </row>
    <row r="27" spans="1:3" x14ac:dyDescent="0.3">
      <c r="A27" s="47" t="s">
        <v>9</v>
      </c>
      <c r="B27" s="48">
        <v>122266</v>
      </c>
      <c r="C27" s="51">
        <v>4.8</v>
      </c>
    </row>
    <row r="28" spans="1:3" ht="15.6" x14ac:dyDescent="0.3">
      <c r="A28" s="35" t="s">
        <v>645</v>
      </c>
      <c r="B28" s="45">
        <v>1457089</v>
      </c>
      <c r="C28" s="37">
        <v>4.7176470588235295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7362-7813-4E37-AC8E-966FC2F8C8D9}">
  <dimension ref="J22"/>
  <sheetViews>
    <sheetView showGridLines="0" zoomScale="80" zoomScaleNormal="80" workbookViewId="0">
      <selection activeCell="Z18" sqref="Z18"/>
    </sheetView>
  </sheetViews>
  <sheetFormatPr defaultRowHeight="14.4" x14ac:dyDescent="0.3"/>
  <cols>
    <col min="1" max="16384" width="8.88671875" style="46"/>
  </cols>
  <sheetData>
    <row r="22" spans="10:10" x14ac:dyDescent="0.3">
      <c r="J22" s="46" t="s">
        <v>623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5A6F7-832D-44DA-A784-590D2E1B53E1}">
  <dimension ref="A1"/>
  <sheetViews>
    <sheetView showGridLines="0" tabSelected="1" zoomScale="85" zoomScaleNormal="85" workbookViewId="0">
      <selection activeCell="Q7" sqref="Q7"/>
    </sheetView>
  </sheetViews>
  <sheetFormatPr defaultRowHeight="14.4" x14ac:dyDescent="0.3"/>
  <cols>
    <col min="1" max="16384" width="8.88671875" style="4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bestsellers with categories</vt:lpstr>
      <vt:lpstr>Data Cleaning</vt:lpstr>
      <vt:lpstr>Answers</vt:lpstr>
      <vt:lpstr>Relation 1</vt:lpstr>
      <vt:lpstr>Relation 2,3</vt:lpstr>
      <vt:lpstr>Relation 4</vt:lpstr>
      <vt:lpstr>Relation 5,6</vt:lpstr>
      <vt:lpstr>Relation 7</vt:lpstr>
      <vt:lpstr>Data Visualization</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Abdulbasit Sharaf</dc:creator>
  <cp:lastModifiedBy>Ibrahim Abdel Ghaffar</cp:lastModifiedBy>
  <dcterms:created xsi:type="dcterms:W3CDTF">2025-06-19T21:51:14Z</dcterms:created>
  <dcterms:modified xsi:type="dcterms:W3CDTF">2025-07-01T10:34:53Z</dcterms:modified>
</cp:coreProperties>
</file>